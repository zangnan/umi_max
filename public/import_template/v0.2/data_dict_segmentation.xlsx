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"/>
    </mc:Choice>
  </mc:AlternateContent>
  <xr:revisionPtr revIDLastSave="0" documentId="13_ncr:1_{93435801-D487-4A15-9AD7-67A2E4A9E4AE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7" i="15" l="1"/>
  <c r="A6" i="15"/>
  <c r="A5" i="15"/>
  <c r="A4" i="15"/>
  <c r="A3" i="15"/>
  <c r="A2" i="15"/>
  <c r="A2" i="10"/>
</calcChain>
</file>

<file path=xl/sharedStrings.xml><?xml version="1.0" encoding="utf-8"?>
<sst xmlns="http://schemas.openxmlformats.org/spreadsheetml/2006/main" count="200" uniqueCount="166">
  <si>
    <t>序号</t>
  </si>
  <si>
    <t>菜单名称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</si>
  <si>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</si>
  <si>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</si>
  <si>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</si>
  <si>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</si>
  <si>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</si>
  <si>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</si>
  <si>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</si>
  <si>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</si>
  <si>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分词字典管理</t>
  </si>
  <si>
    <t>/fc/cfgp/m_sys_dict</t>
  </si>
  <si>
    <t>ProfileOutlined</t>
  </si>
  <si>
    <t>N</t>
  </si>
  <si>
    <t>./common/automatic_page</t>
  </si>
  <si>
    <t>系统管理、业务菜单权限1</t>
  </si>
  <si>
    <t>模块key</t>
  </si>
  <si>
    <t>模块名称</t>
  </si>
  <si>
    <t>数据字典</t>
  </si>
  <si>
    <t>列表序号</t>
  </si>
  <si>
    <t>列表边框</t>
  </si>
  <si>
    <t>列表首选项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</si>
  <si>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</si>
  <si>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</si>
  <si>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</si>
  <si>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</si>
  <si>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</si>
  <si>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</si>
  <si>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</si>
  <si>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</si>
  <si>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</si>
  <si>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</si>
  <si>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</si>
  <si>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</si>
  <si>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</si>
  <si>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</si>
  <si>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</si>
  <si>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</si>
  <si>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</si>
  <si>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</si>
  <si>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</si>
  <si>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</si>
  <si>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</si>
  <si>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</si>
  <si>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</si>
  <si>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</si>
  <si>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m_sys_dict</t>
  </si>
  <si>
    <t>s_dict</t>
  </si>
  <si>
    <t>checkbox</t>
  </si>
  <si>
    <t>vertical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</si>
  <si>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</si>
  <si>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</si>
  <si>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</si>
  <si>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</si>
  <si>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</si>
  <si>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</si>
  <si>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</si>
  <si>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</si>
  <si>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</si>
  <si>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</si>
  <si>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分词字典管理表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</si>
  <si>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</si>
  <si>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</si>
  <si>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</si>
  <si>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</si>
  <si>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</si>
  <si>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</si>
  <si>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</si>
  <si>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</si>
  <si>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</si>
  <si>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</si>
  <si>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</si>
  <si>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</si>
  <si>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</si>
  <si>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</si>
  <si>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</si>
  <si>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</si>
  <si>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</si>
  <si>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</si>
  <si>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</si>
  <si>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</si>
  <si>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</si>
  <si>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</si>
  <si>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</si>
  <si>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</si>
  <si>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</si>
  <si>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</si>
  <si>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</si>
  <si>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</si>
  <si>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</si>
  <si>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</si>
  <si>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</si>
  <si>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</si>
  <si>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</si>
  <si>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</si>
  <si>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</si>
  <si>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</si>
  <si>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</si>
  <si>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</si>
  <si>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</si>
  <si>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</si>
  <si>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dict_uuid</t>
  </si>
  <si>
    <t>UUID</t>
  </si>
  <si>
    <t>varchar(32)</t>
  </si>
  <si>
    <t>主键</t>
  </si>
  <si>
    <t>Hidden</t>
  </si>
  <si>
    <t>字典分类</t>
  </si>
  <si>
    <t>varchar(100)</t>
  </si>
  <si>
    <t>Input</t>
  </si>
  <si>
    <t>Select</t>
  </si>
  <si>
    <t>code_dm_fczdlb</t>
  </si>
  <si>
    <t>varchar(60)</t>
  </si>
  <si>
    <t>dict_value</t>
  </si>
  <si>
    <t>字典值</t>
  </si>
  <si>
    <t>varchar(200)</t>
  </si>
  <si>
    <t>dict_desc</t>
  </si>
  <si>
    <t>字典信息描述</t>
  </si>
  <si>
    <t>命中规则</t>
  </si>
  <si>
    <t>varchar(3)</t>
  </si>
  <si>
    <t>code_dm_fczdusedtype</t>
  </si>
  <si>
    <t>码表名称</t>
  </si>
  <si>
    <t>码表类别</t>
  </si>
  <si>
    <t>码值</t>
  </si>
  <si>
    <t>码值中文名称</t>
  </si>
  <si>
    <t>备注</t>
  </si>
  <si>
    <t>字段名称</t>
  </si>
  <si>
    <t>add_time</t>
  </si>
  <si>
    <t>新增时间</t>
  </si>
  <si>
    <t>datetime</t>
  </si>
  <si>
    <t>sysdate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</si>
  <si>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</si>
  <si>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</si>
  <si>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</si>
  <si>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</si>
  <si>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</si>
  <si>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</si>
  <si>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</si>
  <si>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</si>
  <si>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</si>
  <si>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</si>
  <si>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</si>
  <si>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</si>
  <si>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</si>
  <si>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</si>
  <si>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</si>
  <si>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</si>
  <si>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</si>
  <si>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</si>
  <si>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</si>
  <si>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</si>
  <si>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</si>
  <si>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</si>
  <si>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</si>
  <si>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表单项事件查询</t>
    <phoneticPr fontId="12" type="noConversion"/>
  </si>
  <si>
    <t>列表扩展</t>
    <phoneticPr fontId="12" type="noConversion"/>
  </si>
  <si>
    <t>dict_type</t>
    <phoneticPr fontId="12" type="noConversion"/>
  </si>
  <si>
    <t>字典分类名称</t>
    <phoneticPr fontId="12" type="noConversion"/>
  </si>
  <si>
    <t>ref:dict_type</t>
    <phoneticPr fontId="12" type="noConversion"/>
  </si>
  <si>
    <t>code_dm_fczdlb</t>
    <phoneticPr fontId="12" type="noConversion"/>
  </si>
  <si>
    <t>命中规则名称</t>
    <phoneticPr fontId="12" type="noConversion"/>
  </si>
  <si>
    <t>code_dm_fczdusedtype</t>
    <phoneticPr fontId="12" type="noConversion"/>
  </si>
  <si>
    <t>dict_used_flag</t>
    <phoneticPr fontId="12" type="noConversion"/>
  </si>
  <si>
    <t>ref:dict_used_flag</t>
    <phoneticPr fontId="12" type="noConversion"/>
  </si>
  <si>
    <r>
      <t>sdp</t>
    </r>
    <r>
      <rPr>
        <sz val="9"/>
        <rFont val="微软雅黑"/>
        <family val="2"/>
        <charset val="134"/>
      </rPr>
      <t>_</t>
    </r>
    <r>
      <rPr>
        <sz val="9"/>
        <rFont val="微软雅黑"/>
        <family val="2"/>
        <charset val="134"/>
      </rPr>
      <t>dict_mgr</t>
    </r>
    <phoneticPr fontId="12" type="noConversion"/>
  </si>
  <si>
    <t>扩展信息</t>
    <phoneticPr fontId="12" type="noConversion"/>
  </si>
  <si>
    <t>分词字典管理 s_dict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</si>
</sst>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Calibri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/>
    <xf numFmtId="0" fontId="1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2" borderId="0" xfId="0" applyFill="1"/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7" fillId="2" borderId="1" xfId="0" applyFont="1" applyFill="1" applyBorder="1"/>
    <xf numFmtId="0" fontId="5" fillId="6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2" borderId="0" xfId="0" applyFont="1" applyFill="1"/>
    <xf numFmtId="0" fontId="5" fillId="9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0" fontId="5" fillId="15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pane ySplit="1" topLeftCell="A2" activePane="bottomLeft" state="frozen"/>
      <selection pane="bottomLeft" activeCell="L14" sqref="L14"/>
    </sheetView>
  </sheetViews>
  <sheetFormatPr defaultColWidth="8.75" defaultRowHeight="14.25" x14ac:dyDescent="0.3"/>
  <cols>
    <col min="1" max="1" width="4.5" style="24" customWidth="1"/>
    <col min="2" max="2" width="3" style="24" customWidth="1"/>
    <col min="3" max="4" width="3.25" style="24" customWidth="1"/>
    <col min="5" max="5" width="3.625" style="24" customWidth="1"/>
    <col min="6" max="6" width="11.125" style="24" customWidth="1"/>
    <col min="7" max="7" width="34.875" style="24" customWidth="1"/>
    <col min="8" max="8" width="10.5" style="24" customWidth="1"/>
    <col min="9" max="9" width="12.5" style="24" customWidth="1"/>
    <col min="10" max="10" width="4.5" style="24" customWidth="1"/>
    <col min="11" max="11" width="9" style="24" customWidth="1"/>
    <col min="12" max="12" width="35.125" style="24" customWidth="1"/>
    <col min="13" max="13" width="7.5" style="24" customWidth="1"/>
    <col min="14" max="14" width="19.875" style="24" customWidth="1"/>
    <col min="15" max="16384" width="8.75" style="24"/>
  </cols>
  <sheetData>
    <row r="1" spans="1:14" ht="14.25" customHeight="1" x14ac:dyDescent="0.3">
      <c r="A1" s="4" t="s">
        <v>0</v>
      </c>
      <c r="B1" s="36" t="s">
        <v>1</v>
      </c>
      <c r="C1" s="37"/>
      <c r="D1" s="37"/>
      <c r="E1" s="37"/>
      <c r="F1" s="38"/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</row>
    <row r="2" spans="1:14" x14ac:dyDescent="0.3">
      <c r="A2" s="32">
        <f>ROW()-1</f>
        <v>1</v>
      </c>
      <c r="B2" s="39" t="s">
        <v>10</v>
      </c>
      <c r="C2" s="39"/>
      <c r="D2" s="39"/>
      <c r="E2" s="39"/>
      <c r="F2" s="39"/>
      <c r="G2" s="33" t="s">
        <v>11</v>
      </c>
      <c r="H2" s="33"/>
      <c r="I2" s="33" t="s">
        <v>12</v>
      </c>
      <c r="J2" s="32" t="s">
        <v>13</v>
      </c>
      <c r="K2" s="33"/>
      <c r="L2" s="34" t="s">
        <v>14</v>
      </c>
      <c r="M2" s="32" t="s">
        <v>13</v>
      </c>
      <c r="N2" s="33" t="s">
        <v>15</v>
      </c>
    </row>
  </sheetData>
  <mergeCells count="2">
    <mergeCell ref="B1:F1"/>
    <mergeCell ref="B2:F2"/>
  </mergeCells>
  <phoneticPr fontId="1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topLeftCell="L1" workbookViewId="0">
      <pane ySplit="1" topLeftCell="A2" activePane="bottomLeft" state="frozen"/>
      <selection pane="bottomLeft" activeCell="AE16" sqref="AE16"/>
    </sheetView>
  </sheetViews>
  <sheetFormatPr defaultColWidth="24.75" defaultRowHeight="14.25" x14ac:dyDescent="0.3"/>
  <cols>
    <col min="1" max="1" width="19.5" style="24" customWidth="1"/>
    <col min="2" max="2" width="12.125" style="24" customWidth="1"/>
    <col min="3" max="3" width="13.625" style="24" customWidth="1"/>
    <col min="4" max="5" width="7.625" style="24" customWidth="1"/>
    <col min="6" max="6" width="9.125" style="24" customWidth="1"/>
    <col min="7" max="7" width="7.5" style="24" bestFit="1" customWidth="1"/>
    <col min="8" max="19" width="9.125" style="24" customWidth="1"/>
    <col min="20" max="21" width="7.25" style="24" customWidth="1"/>
    <col min="22" max="23" width="10.25" style="24" customWidth="1"/>
    <col min="24" max="25" width="7.25" style="24" customWidth="1"/>
    <col min="26" max="26" width="10.25" style="24" customWidth="1"/>
    <col min="27" max="28" width="7.625" style="24" customWidth="1"/>
    <col min="29" max="29" width="10.75" style="24" customWidth="1"/>
    <col min="30" max="31" width="14" style="24" customWidth="1"/>
    <col min="32" max="16384" width="24.75" style="24"/>
  </cols>
  <sheetData>
    <row r="1" spans="1:32" s="26" customFormat="1" x14ac:dyDescent="0.3">
      <c r="A1" s="27" t="s">
        <v>16</v>
      </c>
      <c r="B1" s="27" t="s">
        <v>17</v>
      </c>
      <c r="C1" s="27" t="s">
        <v>18</v>
      </c>
      <c r="D1" s="28" t="s">
        <v>19</v>
      </c>
      <c r="E1" s="28" t="s">
        <v>20</v>
      </c>
      <c r="F1" s="28" t="s">
        <v>21</v>
      </c>
      <c r="G1" s="28" t="s">
        <v>154</v>
      </c>
      <c r="H1" s="29" t="s">
        <v>22</v>
      </c>
      <c r="I1" s="29" t="s">
        <v>23</v>
      </c>
      <c r="J1" s="29" t="s">
        <v>24</v>
      </c>
      <c r="K1" s="29" t="s">
        <v>25</v>
      </c>
      <c r="L1" s="29" t="s">
        <v>26</v>
      </c>
      <c r="M1" s="29" t="s">
        <v>27</v>
      </c>
      <c r="N1" s="29" t="s">
        <v>28</v>
      </c>
      <c r="O1" s="29" t="s">
        <v>29</v>
      </c>
      <c r="P1" s="29" t="s">
        <v>30</v>
      </c>
      <c r="Q1" s="29" t="s">
        <v>31</v>
      </c>
      <c r="R1" s="29" t="s">
        <v>32</v>
      </c>
      <c r="S1" s="29" t="s">
        <v>33</v>
      </c>
      <c r="T1" s="30" t="s">
        <v>34</v>
      </c>
      <c r="U1" s="30" t="s">
        <v>35</v>
      </c>
      <c r="V1" s="30" t="s">
        <v>36</v>
      </c>
      <c r="W1" s="30" t="s">
        <v>37</v>
      </c>
      <c r="X1" s="30" t="s">
        <v>38</v>
      </c>
      <c r="Y1" s="30" t="s">
        <v>39</v>
      </c>
      <c r="Z1" s="30" t="s">
        <v>40</v>
      </c>
      <c r="AA1" s="31" t="s">
        <v>41</v>
      </c>
      <c r="AB1" s="31" t="s">
        <v>42</v>
      </c>
      <c r="AC1" s="31" t="s">
        <v>43</v>
      </c>
      <c r="AD1" s="28" t="s">
        <v>44</v>
      </c>
      <c r="AE1" s="28" t="s">
        <v>45</v>
      </c>
      <c r="AF1" s="28" t="s">
        <v>164</v>
      </c>
    </row>
    <row r="2" spans="1:32" x14ac:dyDescent="0.3">
      <c r="A2" s="13" t="s">
        <v>46</v>
      </c>
      <c r="B2" s="13" t="s">
        <v>10</v>
      </c>
      <c r="C2" s="13" t="s">
        <v>47</v>
      </c>
      <c r="D2" s="15"/>
      <c r="E2" s="15">
        <v>1</v>
      </c>
      <c r="F2" s="13" t="s">
        <v>48</v>
      </c>
      <c r="G2" s="13"/>
      <c r="H2" s="15">
        <v>1</v>
      </c>
      <c r="I2" s="15">
        <v>1</v>
      </c>
      <c r="J2" s="15">
        <v>1</v>
      </c>
      <c r="K2" s="15">
        <v>1</v>
      </c>
      <c r="L2" s="15">
        <v>1</v>
      </c>
      <c r="M2" s="15">
        <v>1</v>
      </c>
      <c r="N2" s="15">
        <v>1</v>
      </c>
      <c r="O2" s="15">
        <v>1</v>
      </c>
      <c r="P2" s="15">
        <v>1</v>
      </c>
      <c r="Q2" s="15">
        <v>1</v>
      </c>
      <c r="R2" s="15">
        <v>1</v>
      </c>
      <c r="S2" s="15">
        <v>1</v>
      </c>
      <c r="T2" s="15"/>
      <c r="U2" s="15"/>
      <c r="V2" s="15"/>
      <c r="W2" s="15"/>
      <c r="X2" s="15"/>
      <c r="Y2" s="15"/>
      <c r="Z2" s="15"/>
      <c r="AA2" s="13" t="s">
        <v>49</v>
      </c>
      <c r="AB2" s="13">
        <v>1200</v>
      </c>
      <c r="AC2" s="15"/>
      <c r="AD2" s="15"/>
      <c r="AE2" s="15"/>
      <c r="AF2" s="4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activeCell="D10" sqref="D10"/>
    </sheetView>
  </sheetViews>
  <sheetFormatPr defaultColWidth="9" defaultRowHeight="14.25" x14ac:dyDescent="0.3"/>
  <cols>
    <col min="1" max="1" width="16.75" style="24" customWidth="1"/>
    <col min="2" max="2" width="14.375" style="24" customWidth="1"/>
    <col min="3" max="3" width="13.625" style="24" customWidth="1"/>
    <col min="4" max="4" width="16.75" style="24" customWidth="1"/>
    <col min="5" max="5" width="13.625" style="24" customWidth="1"/>
    <col min="6" max="6" width="9.125" style="24" customWidth="1"/>
    <col min="7" max="7" width="9.25" style="24" customWidth="1"/>
    <col min="8" max="8" width="14" style="24" customWidth="1"/>
    <col min="9" max="9" width="9.125" style="24" customWidth="1"/>
    <col min="10" max="10" width="10.625" style="24" customWidth="1"/>
    <col min="11" max="11" width="7.5" style="24" customWidth="1"/>
    <col min="12" max="16384" width="9" style="24"/>
  </cols>
  <sheetData>
    <row r="1" spans="1:11" x14ac:dyDescent="0.3">
      <c r="A1" s="25" t="s">
        <v>50</v>
      </c>
      <c r="B1" s="25" t="s">
        <v>51</v>
      </c>
      <c r="C1" s="25" t="s">
        <v>18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</row>
    <row r="2" spans="1:11" x14ac:dyDescent="0.3">
      <c r="A2" s="22" t="s">
        <v>163</v>
      </c>
      <c r="B2" s="14" t="s">
        <v>60</v>
      </c>
      <c r="C2" s="13" t="s">
        <v>47</v>
      </c>
      <c r="D2" s="14" t="s">
        <v>60</v>
      </c>
      <c r="E2" s="13" t="s">
        <v>47</v>
      </c>
      <c r="F2" s="14" t="s">
        <v>61</v>
      </c>
      <c r="G2" s="14"/>
      <c r="H2" s="14"/>
      <c r="I2" s="16"/>
      <c r="J2" s="16"/>
      <c r="K2" s="16">
        <v>0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"/>
  <sheetViews>
    <sheetView tabSelected="1" topLeftCell="W1" workbookViewId="0">
      <pane ySplit="1" topLeftCell="A2" activePane="bottomLeft" state="frozen"/>
      <selection pane="bottomLeft" activeCell="AL17" sqref="AL17"/>
    </sheetView>
  </sheetViews>
  <sheetFormatPr defaultColWidth="28" defaultRowHeight="15.75" x14ac:dyDescent="0.25"/>
  <cols>
    <col min="1" max="1" width="16.625" style="8" customWidth="1"/>
    <col min="2" max="2" width="9" style="8" customWidth="1"/>
    <col min="3" max="3" width="15.25" style="8" customWidth="1"/>
    <col min="4" max="4" width="10.5" style="8" customWidth="1"/>
    <col min="5" max="5" width="4.5" style="8" customWidth="1"/>
    <col min="6" max="6" width="6" style="8" customWidth="1"/>
    <col min="7" max="7" width="4.5" style="8" customWidth="1"/>
    <col min="8" max="8" width="15.5" style="8" customWidth="1"/>
    <col min="9" max="9" width="9" style="8" customWidth="1"/>
    <col min="10" max="12" width="12.25" style="8" customWidth="1"/>
    <col min="13" max="13" width="9" style="8" customWidth="1"/>
    <col min="14" max="14" width="10.5" style="8" customWidth="1"/>
    <col min="15" max="16" width="12.25" style="8" customWidth="1"/>
    <col min="17" max="17" width="19.875" style="8" customWidth="1"/>
    <col min="18" max="18" width="12.25" style="8" customWidth="1"/>
    <col min="19" max="20" width="9" style="8" customWidth="1"/>
    <col min="21" max="21" width="12.25" style="8" customWidth="1"/>
    <col min="22" max="22" width="9" style="8" customWidth="1"/>
    <col min="23" max="23" width="15.5" style="8" customWidth="1"/>
    <col min="24" max="26" width="9" style="8" customWidth="1"/>
    <col min="27" max="27" width="10.5" style="8" customWidth="1"/>
    <col min="28" max="30" width="9" style="8" customWidth="1"/>
    <col min="31" max="31" width="10.5" style="8" customWidth="1"/>
    <col min="32" max="32" width="9" style="8" customWidth="1"/>
    <col min="33" max="33" width="19.25" style="8" bestFit="1" customWidth="1"/>
    <col min="34" max="34" width="9" style="8" customWidth="1"/>
    <col min="35" max="36" width="15.5" style="8" customWidth="1"/>
    <col min="37" max="37" width="13.875" style="8" customWidth="1"/>
    <col min="38" max="38" width="11.375" style="8" customWidth="1"/>
    <col min="39" max="39" width="9.625" style="8" customWidth="1"/>
    <col min="40" max="40" width="9" style="8" customWidth="1"/>
    <col min="41" max="16384" width="28" style="8"/>
  </cols>
  <sheetData>
    <row r="1" spans="1:41" s="11" customFormat="1" x14ac:dyDescent="0.25">
      <c r="A1" s="12" t="s">
        <v>62</v>
      </c>
      <c r="B1" s="12" t="s">
        <v>63</v>
      </c>
      <c r="C1" s="12" t="s">
        <v>64</v>
      </c>
      <c r="D1" s="12" t="s">
        <v>65</v>
      </c>
      <c r="E1" s="12" t="s">
        <v>66</v>
      </c>
      <c r="F1" s="12" t="s">
        <v>67</v>
      </c>
      <c r="G1" s="12" t="s">
        <v>68</v>
      </c>
      <c r="H1" s="12" t="s">
        <v>69</v>
      </c>
      <c r="I1" s="12" t="s">
        <v>70</v>
      </c>
      <c r="J1" s="17" t="s">
        <v>71</v>
      </c>
      <c r="K1" s="17" t="s">
        <v>72</v>
      </c>
      <c r="L1" s="17" t="s">
        <v>73</v>
      </c>
      <c r="M1" s="17" t="s">
        <v>74</v>
      </c>
      <c r="N1" s="17" t="s">
        <v>75</v>
      </c>
      <c r="O1" s="17" t="s">
        <v>76</v>
      </c>
      <c r="P1" s="17" t="s">
        <v>77</v>
      </c>
      <c r="Q1" s="17" t="s">
        <v>78</v>
      </c>
      <c r="R1" s="17" t="s">
        <v>79</v>
      </c>
      <c r="S1" s="17" t="s">
        <v>80</v>
      </c>
      <c r="T1" s="17" t="s">
        <v>81</v>
      </c>
      <c r="U1" s="17" t="s">
        <v>82</v>
      </c>
      <c r="V1" s="20" t="s">
        <v>83</v>
      </c>
      <c r="W1" s="20" t="s">
        <v>84</v>
      </c>
      <c r="X1" s="20" t="s">
        <v>85</v>
      </c>
      <c r="Y1" s="20" t="s">
        <v>86</v>
      </c>
      <c r="Z1" s="20" t="s">
        <v>87</v>
      </c>
      <c r="AA1" s="20" t="s">
        <v>88</v>
      </c>
      <c r="AB1" s="20" t="s">
        <v>89</v>
      </c>
      <c r="AC1" s="23" t="s">
        <v>90</v>
      </c>
      <c r="AD1" s="23" t="s">
        <v>91</v>
      </c>
      <c r="AE1" s="23" t="s">
        <v>92</v>
      </c>
      <c r="AF1" s="23" t="s">
        <v>93</v>
      </c>
      <c r="AG1" s="23" t="s">
        <v>94</v>
      </c>
      <c r="AH1" s="23" t="s">
        <v>95</v>
      </c>
      <c r="AI1" s="23" t="s">
        <v>96</v>
      </c>
      <c r="AJ1" s="23" t="s">
        <v>97</v>
      </c>
      <c r="AK1" s="23" t="s">
        <v>98</v>
      </c>
      <c r="AL1" s="23" t="s">
        <v>153</v>
      </c>
      <c r="AM1" s="23" t="s">
        <v>99</v>
      </c>
      <c r="AN1" s="23" t="s">
        <v>100</v>
      </c>
      <c r="AO1" s="42" t="s">
        <v>164</v>
      </c>
    </row>
    <row r="2" spans="1:41" x14ac:dyDescent="0.25">
      <c r="A2" s="40" t="s">
        <v>165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1" ht="16.5" x14ac:dyDescent="0.3">
      <c r="A3" s="13" t="s">
        <v>101</v>
      </c>
      <c r="B3" s="13"/>
      <c r="C3" s="13" t="s">
        <v>102</v>
      </c>
      <c r="D3" s="13" t="s">
        <v>103</v>
      </c>
      <c r="E3" s="14" t="s">
        <v>104</v>
      </c>
      <c r="F3" s="14"/>
      <c r="G3" s="13" t="s">
        <v>13</v>
      </c>
      <c r="H3" s="15"/>
      <c r="I3" s="15"/>
      <c r="J3" s="13">
        <v>1</v>
      </c>
      <c r="K3" s="18">
        <v>1</v>
      </c>
      <c r="L3" s="13"/>
      <c r="M3" s="14">
        <v>120</v>
      </c>
      <c r="N3" s="13"/>
      <c r="O3" s="13">
        <v>1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>
        <v>1</v>
      </c>
      <c r="AD3" s="13" t="s">
        <v>105</v>
      </c>
      <c r="AE3" s="13"/>
      <c r="AF3" s="13"/>
      <c r="AG3" s="13"/>
      <c r="AH3" s="13"/>
      <c r="AI3" s="13"/>
      <c r="AJ3" s="13"/>
      <c r="AK3" s="13"/>
      <c r="AL3" s="13"/>
      <c r="AM3" s="13" t="s">
        <v>103</v>
      </c>
      <c r="AN3" s="13"/>
      <c r="AO3" s="14"/>
    </row>
    <row r="4" spans="1:41" ht="16.5" x14ac:dyDescent="0.3">
      <c r="A4" s="22" t="s">
        <v>155</v>
      </c>
      <c r="B4" s="14"/>
      <c r="C4" s="14" t="s">
        <v>106</v>
      </c>
      <c r="D4" s="14" t="s">
        <v>107</v>
      </c>
      <c r="E4" s="14"/>
      <c r="F4" s="14"/>
      <c r="G4" s="14"/>
      <c r="H4" s="16"/>
      <c r="I4" s="16"/>
      <c r="J4" s="14">
        <v>1</v>
      </c>
      <c r="K4" s="19"/>
      <c r="L4" s="14"/>
      <c r="M4" s="14">
        <v>80</v>
      </c>
      <c r="N4" s="14"/>
      <c r="O4" s="14"/>
      <c r="P4" s="13"/>
      <c r="Q4" s="14"/>
      <c r="R4" s="14"/>
      <c r="S4" s="14"/>
      <c r="T4" s="14"/>
      <c r="U4" s="14"/>
      <c r="V4" s="14" t="s">
        <v>108</v>
      </c>
      <c r="W4" s="21"/>
      <c r="X4" s="14"/>
      <c r="Y4" s="14"/>
      <c r="Z4" s="13"/>
      <c r="AA4" s="14"/>
      <c r="AB4" s="14"/>
      <c r="AC4" s="14">
        <v>1</v>
      </c>
      <c r="AD4" s="22" t="s">
        <v>109</v>
      </c>
      <c r="AE4" s="14"/>
      <c r="AF4" s="14"/>
      <c r="AG4" s="14" t="s">
        <v>110</v>
      </c>
      <c r="AH4" s="14"/>
      <c r="AI4" s="14"/>
      <c r="AJ4" s="14"/>
      <c r="AK4" s="14"/>
      <c r="AL4" s="14"/>
      <c r="AM4" s="14" t="s">
        <v>111</v>
      </c>
      <c r="AN4" s="14">
        <v>10</v>
      </c>
      <c r="AO4" s="14"/>
    </row>
    <row r="5" spans="1:41" ht="16.5" x14ac:dyDescent="0.3">
      <c r="A5" s="22"/>
      <c r="B5" s="14"/>
      <c r="C5" s="22" t="s">
        <v>156</v>
      </c>
      <c r="D5" s="14"/>
      <c r="E5" s="14"/>
      <c r="F5" s="14"/>
      <c r="G5" s="14"/>
      <c r="H5" s="35" t="s">
        <v>157</v>
      </c>
      <c r="I5" s="16"/>
      <c r="J5" s="14">
        <v>1</v>
      </c>
      <c r="K5" s="19"/>
      <c r="L5" s="14"/>
      <c r="M5" s="14">
        <v>120</v>
      </c>
      <c r="N5" s="14"/>
      <c r="O5" s="14"/>
      <c r="P5" s="13"/>
      <c r="Q5" s="22" t="s">
        <v>158</v>
      </c>
      <c r="R5" s="14"/>
      <c r="S5" s="14"/>
      <c r="T5" s="14"/>
      <c r="U5" s="14"/>
      <c r="V5" s="14"/>
      <c r="W5" s="21"/>
      <c r="X5" s="14"/>
      <c r="Y5" s="14"/>
      <c r="Z5" s="13"/>
      <c r="AA5" s="14"/>
      <c r="AB5" s="14"/>
      <c r="AC5" s="14"/>
      <c r="AD5" s="22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41" ht="16.5" x14ac:dyDescent="0.3">
      <c r="A6" s="14" t="s">
        <v>112</v>
      </c>
      <c r="B6" s="14"/>
      <c r="C6" s="14" t="s">
        <v>113</v>
      </c>
      <c r="D6" s="14" t="s">
        <v>114</v>
      </c>
      <c r="E6" s="14"/>
      <c r="F6" s="14"/>
      <c r="G6" s="14"/>
      <c r="H6" s="16"/>
      <c r="I6" s="16"/>
      <c r="J6" s="14">
        <v>1</v>
      </c>
      <c r="K6" s="19"/>
      <c r="L6" s="14"/>
      <c r="M6" s="14">
        <v>80</v>
      </c>
      <c r="N6" s="14"/>
      <c r="O6" s="14"/>
      <c r="P6" s="14"/>
      <c r="Q6" s="14"/>
      <c r="R6" s="14"/>
      <c r="S6" s="14"/>
      <c r="T6" s="14"/>
      <c r="U6" s="14"/>
      <c r="V6" s="14" t="s">
        <v>108</v>
      </c>
      <c r="W6" s="21"/>
      <c r="X6" s="14"/>
      <c r="Y6" s="14"/>
      <c r="Z6" s="13"/>
      <c r="AA6" s="14"/>
      <c r="AB6" s="14"/>
      <c r="AC6" s="14">
        <v>1</v>
      </c>
      <c r="AD6" s="14" t="s">
        <v>108</v>
      </c>
      <c r="AE6" s="14"/>
      <c r="AF6" s="14"/>
      <c r="AG6" s="14"/>
      <c r="AH6" s="14"/>
      <c r="AI6" s="14"/>
      <c r="AJ6" s="14"/>
      <c r="AK6" s="14"/>
      <c r="AL6" s="14"/>
      <c r="AM6" s="14" t="s">
        <v>111</v>
      </c>
      <c r="AN6" s="14">
        <v>20</v>
      </c>
      <c r="AO6" s="14"/>
    </row>
    <row r="7" spans="1:41" ht="16.5" x14ac:dyDescent="0.3">
      <c r="A7" s="14" t="s">
        <v>115</v>
      </c>
      <c r="B7" s="14"/>
      <c r="C7" s="14" t="s">
        <v>116</v>
      </c>
      <c r="D7" s="14" t="s">
        <v>114</v>
      </c>
      <c r="E7" s="14"/>
      <c r="F7" s="14"/>
      <c r="G7" s="14"/>
      <c r="H7" s="16"/>
      <c r="I7" s="16"/>
      <c r="J7" s="14">
        <v>1</v>
      </c>
      <c r="K7" s="19"/>
      <c r="L7" s="14"/>
      <c r="M7" s="14">
        <v>180</v>
      </c>
      <c r="N7" s="14"/>
      <c r="O7" s="14"/>
      <c r="P7" s="13"/>
      <c r="Q7" s="22"/>
      <c r="R7" s="14"/>
      <c r="S7" s="14"/>
      <c r="T7" s="14"/>
      <c r="U7" s="14"/>
      <c r="V7" s="14" t="s">
        <v>108</v>
      </c>
      <c r="W7" s="14"/>
      <c r="X7" s="14"/>
      <c r="Y7" s="14"/>
      <c r="Z7" s="13"/>
      <c r="AA7" s="14"/>
      <c r="AB7" s="14"/>
      <c r="AC7" s="14">
        <v>1</v>
      </c>
      <c r="AD7" s="14" t="s">
        <v>108</v>
      </c>
      <c r="AE7" s="14"/>
      <c r="AF7" s="14"/>
      <c r="AG7" s="14"/>
      <c r="AH7" s="14"/>
      <c r="AI7" s="14"/>
      <c r="AJ7" s="14"/>
      <c r="AK7" s="14"/>
      <c r="AL7" s="14"/>
      <c r="AM7" s="14" t="s">
        <v>111</v>
      </c>
      <c r="AN7" s="14">
        <v>30</v>
      </c>
      <c r="AO7" s="14"/>
    </row>
    <row r="8" spans="1:41" ht="16.5" x14ac:dyDescent="0.3">
      <c r="A8" s="22" t="s">
        <v>161</v>
      </c>
      <c r="B8" s="14"/>
      <c r="C8" s="14" t="s">
        <v>117</v>
      </c>
      <c r="D8" s="14" t="s">
        <v>118</v>
      </c>
      <c r="E8" s="14"/>
      <c r="F8" s="14"/>
      <c r="G8" s="14"/>
      <c r="H8" s="16"/>
      <c r="I8" s="16"/>
      <c r="J8" s="14">
        <v>1</v>
      </c>
      <c r="K8" s="19"/>
      <c r="L8" s="14"/>
      <c r="M8" s="14">
        <v>80</v>
      </c>
      <c r="N8" s="14"/>
      <c r="O8" s="14"/>
      <c r="P8" s="14"/>
      <c r="Q8" s="14"/>
      <c r="R8" s="14"/>
      <c r="S8" s="14"/>
      <c r="T8" s="14"/>
      <c r="U8" s="14"/>
      <c r="V8" s="14" t="s">
        <v>108</v>
      </c>
      <c r="W8" s="21"/>
      <c r="X8" s="14"/>
      <c r="Y8" s="14"/>
      <c r="Z8" s="13"/>
      <c r="AA8" s="14"/>
      <c r="AB8" s="14"/>
      <c r="AC8" s="14">
        <v>1</v>
      </c>
      <c r="AD8" s="22" t="s">
        <v>109</v>
      </c>
      <c r="AE8" s="14"/>
      <c r="AF8" s="14"/>
      <c r="AG8" s="14" t="s">
        <v>119</v>
      </c>
      <c r="AH8" s="14"/>
      <c r="AI8" s="14"/>
      <c r="AJ8" s="14"/>
      <c r="AK8" s="14"/>
      <c r="AL8" s="14"/>
      <c r="AM8" s="14" t="s">
        <v>111</v>
      </c>
      <c r="AN8" s="14">
        <v>50</v>
      </c>
      <c r="AO8" s="14"/>
    </row>
    <row r="9" spans="1:41" ht="16.5" x14ac:dyDescent="0.3">
      <c r="A9" s="14"/>
      <c r="B9" s="14"/>
      <c r="C9" s="22" t="s">
        <v>159</v>
      </c>
      <c r="D9" s="14"/>
      <c r="E9" s="14"/>
      <c r="F9" s="14"/>
      <c r="G9" s="14"/>
      <c r="H9" s="35" t="s">
        <v>162</v>
      </c>
      <c r="I9" s="16"/>
      <c r="J9" s="14">
        <v>1</v>
      </c>
      <c r="K9" s="19"/>
      <c r="L9" s="14"/>
      <c r="M9" s="14">
        <v>100</v>
      </c>
      <c r="N9" s="14"/>
      <c r="O9" s="14"/>
      <c r="P9" s="14"/>
      <c r="Q9" s="22" t="s">
        <v>160</v>
      </c>
      <c r="R9" s="14"/>
      <c r="S9" s="14"/>
      <c r="T9" s="14"/>
      <c r="U9" s="14"/>
      <c r="V9" s="14"/>
      <c r="W9" s="21"/>
      <c r="X9" s="14"/>
      <c r="Y9" s="14"/>
      <c r="Z9" s="13"/>
      <c r="AA9" s="14"/>
      <c r="AB9" s="14"/>
      <c r="AC9" s="14"/>
      <c r="AD9" s="22"/>
      <c r="AE9" s="14"/>
      <c r="AF9" s="14"/>
      <c r="AG9" s="14"/>
      <c r="AH9" s="14"/>
      <c r="AI9" s="14"/>
      <c r="AJ9" s="14"/>
      <c r="AK9" s="14"/>
      <c r="AL9" s="14"/>
      <c r="AM9" s="14"/>
      <c r="AN9" s="14">
        <v>50</v>
      </c>
      <c r="AO9" s="14"/>
    </row>
  </sheetData>
  <mergeCells count="1">
    <mergeCell ref="A2:AO2"/>
  </mergeCells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 activeCell="G19" sqref="G19"/>
    </sheetView>
  </sheetViews>
  <sheetFormatPr defaultColWidth="30.5" defaultRowHeight="15.75" x14ac:dyDescent="0.25"/>
  <cols>
    <col min="1" max="1" width="6.5" style="8" customWidth="1"/>
    <col min="2" max="2" width="17.25" style="8" customWidth="1"/>
    <col min="3" max="3" width="12.875" style="8" customWidth="1"/>
    <col min="4" max="4" width="9.5" style="8" customWidth="1"/>
    <col min="5" max="5" width="32.125" style="8" customWidth="1"/>
    <col min="6" max="6" width="6.5" style="8" customWidth="1"/>
    <col min="7" max="16384" width="30.5" style="8"/>
  </cols>
  <sheetData>
    <row r="1" spans="1:6" x14ac:dyDescent="0.25">
      <c r="A1" s="9" t="s">
        <v>0</v>
      </c>
      <c r="B1" s="9" t="s">
        <v>120</v>
      </c>
      <c r="C1" s="9" t="s">
        <v>121</v>
      </c>
      <c r="D1" s="10" t="s">
        <v>122</v>
      </c>
      <c r="E1" s="10" t="s">
        <v>123</v>
      </c>
      <c r="F1" s="10" t="s">
        <v>124</v>
      </c>
    </row>
  </sheetData>
  <autoFilter ref="A1:F1" xr:uid="{00000000-0009-0000-0000-000004000000}"/>
  <phoneticPr fontId="1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H16" sqref="H16"/>
    </sheetView>
  </sheetViews>
  <sheetFormatPr defaultColWidth="8.75" defaultRowHeight="14.25" x14ac:dyDescent="0.3"/>
  <cols>
    <col min="1" max="1" width="4.75" style="5" customWidth="1"/>
    <col min="2" max="3" width="18.75" style="5" customWidth="1"/>
    <col min="4" max="4" width="10.875" style="5" customWidth="1"/>
    <col min="5" max="5" width="21" style="5" customWidth="1"/>
    <col min="6" max="16384" width="8.75" style="5"/>
  </cols>
  <sheetData>
    <row r="1" spans="1:5" x14ac:dyDescent="0.3">
      <c r="A1" s="4" t="s">
        <v>0</v>
      </c>
      <c r="B1" s="4" t="s">
        <v>125</v>
      </c>
      <c r="C1" s="4" t="s">
        <v>64</v>
      </c>
      <c r="D1" s="4" t="s">
        <v>65</v>
      </c>
      <c r="E1" s="4" t="s">
        <v>69</v>
      </c>
    </row>
    <row r="2" spans="1:5" x14ac:dyDescent="0.3">
      <c r="A2" s="6">
        <f t="shared" ref="A2:A7" si="0">ROW()-1</f>
        <v>1</v>
      </c>
      <c r="B2" s="7" t="s">
        <v>126</v>
      </c>
      <c r="C2" s="7" t="s">
        <v>127</v>
      </c>
      <c r="D2" s="7" t="s">
        <v>128</v>
      </c>
      <c r="E2" s="7" t="s">
        <v>129</v>
      </c>
    </row>
    <row r="3" spans="1:5" x14ac:dyDescent="0.3">
      <c r="A3" s="6">
        <f t="shared" si="0"/>
        <v>2</v>
      </c>
      <c r="B3" s="7" t="s">
        <v>130</v>
      </c>
      <c r="C3" s="7" t="s">
        <v>131</v>
      </c>
      <c r="D3" s="7" t="s">
        <v>103</v>
      </c>
      <c r="E3" s="7" t="s">
        <v>132</v>
      </c>
    </row>
    <row r="4" spans="1:5" x14ac:dyDescent="0.3">
      <c r="A4" s="6">
        <f t="shared" si="0"/>
        <v>3</v>
      </c>
      <c r="B4" s="7" t="s">
        <v>133</v>
      </c>
      <c r="C4" s="7" t="s">
        <v>134</v>
      </c>
      <c r="D4" s="7" t="s">
        <v>103</v>
      </c>
      <c r="E4" s="7" t="s">
        <v>135</v>
      </c>
    </row>
    <row r="5" spans="1:5" x14ac:dyDescent="0.3">
      <c r="A5" s="6">
        <f t="shared" si="0"/>
        <v>4</v>
      </c>
      <c r="B5" s="7" t="s">
        <v>136</v>
      </c>
      <c r="C5" s="7" t="s">
        <v>137</v>
      </c>
      <c r="D5" s="7" t="s">
        <v>128</v>
      </c>
      <c r="E5" s="7" t="s">
        <v>129</v>
      </c>
    </row>
    <row r="6" spans="1:5" x14ac:dyDescent="0.3">
      <c r="A6" s="6">
        <f t="shared" si="0"/>
        <v>5</v>
      </c>
      <c r="B6" s="7" t="s">
        <v>138</v>
      </c>
      <c r="C6" s="7" t="s">
        <v>139</v>
      </c>
      <c r="D6" s="7" t="s">
        <v>103</v>
      </c>
      <c r="E6" s="7" t="s">
        <v>132</v>
      </c>
    </row>
    <row r="7" spans="1:5" x14ac:dyDescent="0.3">
      <c r="A7" s="6">
        <f t="shared" si="0"/>
        <v>6</v>
      </c>
      <c r="B7" s="7" t="s">
        <v>140</v>
      </c>
      <c r="C7" s="7" t="s">
        <v>141</v>
      </c>
      <c r="D7" s="7" t="s">
        <v>103</v>
      </c>
      <c r="E7" s="7" t="s">
        <v>135</v>
      </c>
    </row>
  </sheetData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pane ySplit="1" topLeftCell="A2" activePane="bottomLeft" state="frozen"/>
      <selection pane="bottomLeft" activeCell="C28" sqref="C28"/>
    </sheetView>
  </sheetViews>
  <sheetFormatPr defaultColWidth="8.75" defaultRowHeight="14.25" x14ac:dyDescent="0.3"/>
  <cols>
    <col min="1" max="1" width="40.25" style="3" customWidth="1"/>
    <col min="2" max="2" width="20.25" style="3" customWidth="1"/>
    <col min="3" max="3" width="74.875" style="3" customWidth="1"/>
    <col min="4" max="16384" width="8.75" style="3"/>
  </cols>
  <sheetData>
    <row r="1" spans="1:3" x14ac:dyDescent="0.3">
      <c r="A1" s="4" t="s">
        <v>142</v>
      </c>
      <c r="B1" s="4" t="s">
        <v>143</v>
      </c>
      <c r="C1" s="4" t="s">
        <v>144</v>
      </c>
    </row>
  </sheetData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G9" sqref="G9"/>
    </sheetView>
  </sheetViews>
  <sheetFormatPr defaultColWidth="8.75" defaultRowHeight="14.25" x14ac:dyDescent="0.3"/>
  <cols>
    <col min="1" max="1" width="4.5" style="1" customWidth="1"/>
    <col min="2" max="2" width="23.7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9" style="1" customWidth="1"/>
    <col min="10" max="10" width="19.5" style="1" customWidth="1"/>
    <col min="11" max="16384" width="8.75" style="1"/>
  </cols>
  <sheetData>
    <row r="1" spans="1:10" x14ac:dyDescent="0.3">
      <c r="A1" s="2" t="s">
        <v>0</v>
      </c>
      <c r="B1" s="2" t="s">
        <v>145</v>
      </c>
      <c r="C1" s="2" t="s">
        <v>146</v>
      </c>
      <c r="D1" s="2" t="s">
        <v>121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2025-08-11T06:52:00Z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