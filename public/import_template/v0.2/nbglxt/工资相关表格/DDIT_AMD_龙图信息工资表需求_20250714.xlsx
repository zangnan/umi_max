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工资需求相关\"/>
    </mc:Choice>
  </mc:AlternateContent>
  <xr:revisionPtr revIDLastSave="0" documentId="13_ncr:1_{7D644BBF-2709-48DE-A01F-628E0928DD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6月工资表" sheetId="2" r:id="rId1"/>
    <sheet name="2024.12-2025.5工资表" sheetId="3" r:id="rId2"/>
    <sheet name="附件1销售、客服、培训绩效表" sheetId="4" r:id="rId3"/>
    <sheet name="附件2龙图信息考勤汇总表-202506-最终呈现表" sheetId="5" r:id="rId4"/>
    <sheet name="附件3社保、公积金明细表" sheetId="6" r:id="rId5"/>
    <sheet name="附件4 专项附加扣除累计表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" i="2" l="1"/>
  <c r="AD3" i="2"/>
  <c r="AC3" i="2"/>
  <c r="X3" i="2" l="1"/>
  <c r="W3" i="2"/>
  <c r="AB3" i="2" s="1"/>
  <c r="S3" i="2"/>
  <c r="P3" i="2"/>
  <c r="Q3" i="2" s="1"/>
  <c r="N3" i="2"/>
  <c r="L3" i="2"/>
  <c r="V3" i="2" l="1"/>
  <c r="AA3" i="2" l="1"/>
  <c r="AE3" i="2" s="1"/>
  <c r="AK3" i="2"/>
  <c r="Y3" i="2"/>
  <c r="AG3" i="2" l="1"/>
  <c r="AH3" i="2" s="1"/>
  <c r="AJ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DDIT</author>
  </authors>
  <commentList>
    <comment ref="W1" authorId="0" shapeId="0" xr:uid="{A9DE44D4-E81E-4766-B411-14102C1495DA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负数</t>
        </r>
      </text>
    </comment>
    <comment ref="X1" authorId="0" shapeId="0" xr:uid="{0A4AC65F-3E40-4515-B3C1-E2C80B58F227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负数</t>
        </r>
      </text>
    </comment>
    <comment ref="AH1" authorId="0" shapeId="0" xr:uid="{B2B32926-3103-4A66-9CE0-EFB91DC968B7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此行为银行发放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DDIT</author>
  </authors>
  <commentList>
    <comment ref="W2" authorId="0" shapeId="0" xr:uid="{3518BFCE-D42D-428E-8147-C6EF588ACB52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负数</t>
        </r>
      </text>
    </comment>
    <comment ref="X2" authorId="0" shapeId="0" xr:uid="{C57F9D0D-CF4A-4447-B7C4-666B880E3DF9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负数</t>
        </r>
      </text>
    </comment>
    <comment ref="AH2" authorId="0" shapeId="0" xr:uid="{14DEFBB0-E221-4D51-8E87-3CE5461D8FFA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此行为银行发放</t>
        </r>
      </text>
    </comment>
    <comment ref="W7" authorId="0" shapeId="0" xr:uid="{0A6811AA-5A48-4E91-BEA3-5F0E182CA6CF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负数</t>
        </r>
      </text>
    </comment>
    <comment ref="X7" authorId="0" shapeId="0" xr:uid="{19127C88-B7C5-43AD-AD49-E415E36A404B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负数</t>
        </r>
      </text>
    </comment>
    <comment ref="AH7" authorId="0" shapeId="0" xr:uid="{A2252F3E-7C61-4343-B235-3C59FA9BDD65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此行为银行发放</t>
        </r>
      </text>
    </comment>
    <comment ref="W12" authorId="0" shapeId="0" xr:uid="{8FE76340-20AF-4EC7-9503-7F2A47AEDA22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负数</t>
        </r>
      </text>
    </comment>
    <comment ref="X12" authorId="0" shapeId="0" xr:uid="{00462E9C-E8EC-4047-B9A2-E795273725DF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负数</t>
        </r>
      </text>
    </comment>
    <comment ref="AH12" authorId="0" shapeId="0" xr:uid="{3FC45858-9A33-4B46-80E9-8FA39DDF137D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此行为银行发放</t>
        </r>
      </text>
    </comment>
    <comment ref="W17" authorId="0" shapeId="0" xr:uid="{692A3880-6D7B-4E08-870C-AC5D125AA30D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负数</t>
        </r>
      </text>
    </comment>
    <comment ref="X17" authorId="0" shapeId="0" xr:uid="{BCEBF2C5-03BB-4B82-8CE8-372403FD52DE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负数</t>
        </r>
      </text>
    </comment>
    <comment ref="AH17" authorId="0" shapeId="0" xr:uid="{8285469B-4575-4A8B-9A19-DFFFC28E4A26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此行为银行发放</t>
        </r>
      </text>
    </comment>
    <comment ref="W22" authorId="0" shapeId="0" xr:uid="{C6F3CDB2-671A-4714-B2C9-BCE31859B1A6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负数</t>
        </r>
      </text>
    </comment>
    <comment ref="X22" authorId="0" shapeId="0" xr:uid="{38B55CE1-5E1E-4786-A3E4-6356277604E6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负数</t>
        </r>
      </text>
    </comment>
    <comment ref="AH22" authorId="0" shapeId="0" xr:uid="{AF95977C-B531-462D-8254-30AB7B80BF40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此行为银行发放</t>
        </r>
      </text>
    </comment>
    <comment ref="W27" authorId="0" shapeId="0" xr:uid="{51A9F289-7E41-4E5B-AB42-0279C646AE36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负数</t>
        </r>
      </text>
    </comment>
    <comment ref="X27" authorId="0" shapeId="0" xr:uid="{1E96D0C9-48BB-40D7-92F9-EF88A5C1227A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负数</t>
        </r>
      </text>
    </comment>
    <comment ref="AH27" authorId="0" shapeId="0" xr:uid="{0CB8D532-884E-4288-A4E6-ACFF72171002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此行为银行发放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王菲</author>
  </authors>
  <commentList>
    <comment ref="R73" authorId="0" shapeId="0" xr:uid="{89CF04BD-0D3E-44DE-83B3-E52DCE7F2864}">
      <text>
        <r>
          <rPr>
            <b/>
            <sz val="9"/>
            <color indexed="81"/>
            <rFont val="宋体"/>
            <family val="3"/>
            <charset val="134"/>
          </rPr>
          <t>王菲:</t>
        </r>
        <r>
          <rPr>
            <sz val="9"/>
            <color indexed="81"/>
            <rFont val="宋体"/>
            <family val="3"/>
            <charset val="134"/>
          </rPr>
          <t xml:space="preserve">
取节育器</t>
        </r>
      </text>
    </comment>
  </commentList>
</comments>
</file>

<file path=xl/sharedStrings.xml><?xml version="1.0" encoding="utf-8"?>
<sst xmlns="http://schemas.openxmlformats.org/spreadsheetml/2006/main" count="521" uniqueCount="244">
  <si>
    <t>序号</t>
    <phoneticPr fontId="3" type="noConversion"/>
  </si>
  <si>
    <t>员工号</t>
    <phoneticPr fontId="3" type="noConversion"/>
  </si>
  <si>
    <t>所属BU</t>
    <phoneticPr fontId="3" type="noConversion"/>
  </si>
  <si>
    <t>项目组</t>
    <phoneticPr fontId="3" type="noConversion"/>
  </si>
  <si>
    <t>姓名</t>
    <phoneticPr fontId="3" type="noConversion"/>
  </si>
  <si>
    <t>身份证号码</t>
    <phoneticPr fontId="3" type="noConversion"/>
  </si>
  <si>
    <t xml:space="preserve"> Band</t>
    <phoneticPr fontId="3" type="noConversion"/>
  </si>
  <si>
    <t>入职日期</t>
    <phoneticPr fontId="3" type="noConversion"/>
  </si>
  <si>
    <t>开始日期</t>
    <phoneticPr fontId="3" type="noConversion"/>
  </si>
  <si>
    <t>结束日期</t>
    <phoneticPr fontId="3" type="noConversion"/>
  </si>
  <si>
    <t>基本工资</t>
    <phoneticPr fontId="3" type="noConversion"/>
  </si>
  <si>
    <t>最新评定工资总额</t>
    <phoneticPr fontId="3" type="noConversion"/>
  </si>
  <si>
    <t>绩效工资</t>
  </si>
  <si>
    <t>销售提成</t>
    <phoneticPr fontId="3" type="noConversion"/>
  </si>
  <si>
    <t>培训提成</t>
    <phoneticPr fontId="3" type="noConversion"/>
  </si>
  <si>
    <t>扣薪小时</t>
    <phoneticPr fontId="3" type="noConversion"/>
  </si>
  <si>
    <t>请假扣款</t>
    <phoneticPr fontId="3" type="noConversion"/>
  </si>
  <si>
    <t>行政扣款</t>
    <phoneticPr fontId="3" type="noConversion"/>
  </si>
  <si>
    <t>餐补+交通补助</t>
    <phoneticPr fontId="3" type="noConversion"/>
  </si>
  <si>
    <t>电话补助</t>
  </si>
  <si>
    <t>其他(含加班费）</t>
    <phoneticPr fontId="3" type="noConversion"/>
  </si>
  <si>
    <t>工资总额</t>
    <phoneticPr fontId="3" type="noConversion"/>
  </si>
  <si>
    <t>社保</t>
    <phoneticPr fontId="3" type="noConversion"/>
  </si>
  <si>
    <t>公积金</t>
    <phoneticPr fontId="3" type="noConversion"/>
  </si>
  <si>
    <t>应发工资</t>
    <phoneticPr fontId="3" type="noConversion"/>
  </si>
  <si>
    <t>个税</t>
    <phoneticPr fontId="3" type="noConversion"/>
  </si>
  <si>
    <t>实发工资</t>
    <phoneticPr fontId="3" type="noConversion"/>
  </si>
  <si>
    <t>差旅费/其他税后调整</t>
    <phoneticPr fontId="3" type="noConversion"/>
  </si>
  <si>
    <t>工资实发工资总额</t>
    <phoneticPr fontId="3" type="noConversion"/>
  </si>
  <si>
    <t>每月最后工作日</t>
    <phoneticPr fontId="2" type="noConversion"/>
  </si>
  <si>
    <t>每月开始工作日</t>
    <phoneticPr fontId="2" type="noConversion"/>
  </si>
  <si>
    <t>手填，每月视具体情况而定</t>
    <phoneticPr fontId="2" type="noConversion"/>
  </si>
  <si>
    <t>最近评定工资总额+绩效工资+销售提成+培训提成+请假扣款+行政扣款+餐补+交通补助+电话补助+其他(含加班费）</t>
    <phoneticPr fontId="2" type="noConversion"/>
  </si>
  <si>
    <t>累计工资总额</t>
    <phoneticPr fontId="3" type="noConversion"/>
  </si>
  <si>
    <t>累计五险一金</t>
    <phoneticPr fontId="3" type="noConversion"/>
  </si>
  <si>
    <t>累计费用扣除标准</t>
    <phoneticPr fontId="3" type="noConversion"/>
  </si>
  <si>
    <t>基本工资/21.75/8*扣薪小时（此项为负值）</t>
    <phoneticPr fontId="2" type="noConversion"/>
  </si>
  <si>
    <t>累计个税</t>
    <phoneticPr fontId="3" type="noConversion"/>
  </si>
  <si>
    <t>慧税学苑-产品研发组</t>
  </si>
  <si>
    <t>Band5</t>
  </si>
  <si>
    <t>工资总额+社保+公积金</t>
    <phoneticPr fontId="2" type="noConversion"/>
  </si>
  <si>
    <t>附件1：《销售、客服、培训绩效表》-客服绩效</t>
    <phoneticPr fontId="2" type="noConversion"/>
  </si>
  <si>
    <t>附件1：《销售、客服、培训绩效表》-销售绩效</t>
    <phoneticPr fontId="2" type="noConversion"/>
  </si>
  <si>
    <t>附件1：《销售、客服、培训绩效表》-培训绩效</t>
    <phoneticPr fontId="2" type="noConversion"/>
  </si>
  <si>
    <t>应纳税额</t>
    <phoneticPr fontId="3" type="noConversion"/>
  </si>
  <si>
    <t>（累计工资总额-累计五险一金-累计附加扣除-累计费用扣除）*下方表格适应和税率-速算扣除数</t>
    <phoneticPr fontId="2" type="noConversion"/>
  </si>
  <si>
    <t>应纳税额-累计个税</t>
    <phoneticPr fontId="2" type="noConversion"/>
  </si>
  <si>
    <r>
      <t>工资条中应发工资（工资总额</t>
    </r>
    <r>
      <rPr>
        <b/>
        <sz val="10"/>
        <rFont val="宋体"/>
        <family val="1"/>
        <charset val="134"/>
      </rPr>
      <t>+</t>
    </r>
    <r>
      <rPr>
        <b/>
        <sz val="10"/>
        <rFont val="宋体"/>
        <family val="3"/>
        <charset val="134"/>
      </rPr>
      <t>差旅费）</t>
    </r>
    <phoneticPr fontId="3" type="noConversion"/>
  </si>
  <si>
    <t>实发工资+差旅费/其他税后调整</t>
    <phoneticPr fontId="2" type="noConversion"/>
  </si>
  <si>
    <t>工资总额+差旅费/其他税后调整</t>
    <phoneticPr fontId="2" type="noConversion"/>
  </si>
  <si>
    <t>来源于计薪人员</t>
    <phoneticPr fontId="2" type="noConversion"/>
  </si>
  <si>
    <t>来源于员工信息数据模块</t>
    <phoneticPr fontId="2" type="noConversion"/>
  </si>
  <si>
    <t>员工如在职=基本工资
员工如离职未满勤=基本工资/21.75*实际工作日（如无法关联离职审批可手动修改）
员工如休长期假=0（手动修改）</t>
    <phoneticPr fontId="2" type="noConversion"/>
  </si>
  <si>
    <t>附件2：《龙图信息考勤汇总表-最终呈现表》-事假+离职返+病假</t>
    <phoneticPr fontId="2" type="noConversion"/>
  </si>
  <si>
    <t>附件2：《龙图信息考勤汇总表-最终呈现表》-交补*20元+餐补*20元</t>
    <phoneticPr fontId="2" type="noConversion"/>
  </si>
  <si>
    <t>附件3：《社保、公积金明细表》-个人社保小计（此项为负值）</t>
    <phoneticPr fontId="2" type="noConversion"/>
  </si>
  <si>
    <t>附件3：《社保、公积金明细表》-个人公积金小计（此项为负值）</t>
    <phoneticPr fontId="2" type="noConversion"/>
  </si>
  <si>
    <t>各月《工资表》中“工资总额”项合计（如制作2025年6月工资，则累计为2024年12月-2025年5月）</t>
    <phoneticPr fontId="2" type="noConversion"/>
  </si>
  <si>
    <t>各月《工资表》中“社保、公积金”合计（如制作2025年6月工资，则累计为2024年12月-2025年5月）</t>
    <phoneticPr fontId="2" type="noConversion"/>
  </si>
  <si>
    <t>各月《工资表》中”个税“合计（如制作2025年6月工资，则累计为2024年12月-2025年5月）</t>
    <phoneticPr fontId="2" type="noConversion"/>
  </si>
  <si>
    <t>应发工资-个税</t>
    <phoneticPr fontId="2" type="noConversion"/>
  </si>
  <si>
    <t>人少可手动填加或增加导入表</t>
    <phoneticPr fontId="2" type="noConversion"/>
  </si>
  <si>
    <t>累计专项附加扣除</t>
    <phoneticPr fontId="3" type="noConversion"/>
  </si>
  <si>
    <t>税企服务中心</t>
  </si>
  <si>
    <t>B端服务组</t>
  </si>
  <si>
    <r>
      <rPr>
        <b/>
        <sz val="18"/>
        <rFont val="宋体"/>
        <family val="3"/>
        <charset val="134"/>
      </rPr>
      <t>龙图信息</t>
    </r>
    <r>
      <rPr>
        <b/>
        <sz val="18"/>
        <rFont val="Arial"/>
        <family val="2"/>
      </rPr>
      <t>-2024</t>
    </r>
    <r>
      <rPr>
        <b/>
        <sz val="18"/>
        <rFont val="宋体"/>
        <family val="3"/>
        <charset val="134"/>
      </rPr>
      <t>年</t>
    </r>
    <r>
      <rPr>
        <b/>
        <sz val="18"/>
        <rFont val="Arial"/>
        <family val="2"/>
      </rPr>
      <t>12</t>
    </r>
    <r>
      <rPr>
        <b/>
        <sz val="18"/>
        <rFont val="宋体"/>
        <family val="3"/>
        <charset val="134"/>
      </rPr>
      <t>月份工资表</t>
    </r>
    <phoneticPr fontId="3" type="noConversion"/>
  </si>
  <si>
    <t>费用扣除标准</t>
    <phoneticPr fontId="3" type="noConversion"/>
  </si>
  <si>
    <t>累计附加扣除</t>
    <phoneticPr fontId="3" type="noConversion"/>
  </si>
  <si>
    <r>
      <rPr>
        <b/>
        <sz val="10"/>
        <rFont val="宋体"/>
        <family val="3"/>
        <charset val="134"/>
      </rPr>
      <t>工资条中应发工资（工资总额</t>
    </r>
    <r>
      <rPr>
        <b/>
        <sz val="10"/>
        <rFont val="Times New Roman"/>
        <family val="1"/>
      </rPr>
      <t>+</t>
    </r>
    <r>
      <rPr>
        <b/>
        <sz val="10"/>
        <rFont val="宋体"/>
        <family val="3"/>
        <charset val="134"/>
      </rPr>
      <t>差旅费）</t>
    </r>
    <phoneticPr fontId="3" type="noConversion"/>
  </si>
  <si>
    <t>D000827</t>
  </si>
  <si>
    <t>张**</t>
    <phoneticPr fontId="2" type="noConversion"/>
  </si>
  <si>
    <t>152103198503140044</t>
  </si>
  <si>
    <r>
      <rPr>
        <b/>
        <sz val="18"/>
        <rFont val="宋体"/>
        <family val="3"/>
        <charset val="134"/>
      </rPr>
      <t>龙图信息</t>
    </r>
    <r>
      <rPr>
        <b/>
        <sz val="18"/>
        <rFont val="Arial"/>
        <family val="2"/>
      </rPr>
      <t>-2025</t>
    </r>
    <r>
      <rPr>
        <b/>
        <sz val="18"/>
        <rFont val="宋体"/>
        <family val="3"/>
        <charset val="134"/>
      </rPr>
      <t>年</t>
    </r>
    <r>
      <rPr>
        <b/>
        <sz val="18"/>
        <rFont val="Arial"/>
        <family val="2"/>
      </rPr>
      <t>01</t>
    </r>
    <r>
      <rPr>
        <b/>
        <sz val="18"/>
        <rFont val="宋体"/>
        <family val="3"/>
        <charset val="134"/>
      </rPr>
      <t>月份工资表</t>
    </r>
    <phoneticPr fontId="3" type="noConversion"/>
  </si>
  <si>
    <t>调薪记录</t>
    <phoneticPr fontId="3" type="noConversion"/>
  </si>
  <si>
    <r>
      <rPr>
        <b/>
        <sz val="18"/>
        <rFont val="宋体"/>
        <family val="3"/>
        <charset val="134"/>
      </rPr>
      <t>龙图信息</t>
    </r>
    <r>
      <rPr>
        <b/>
        <sz val="18"/>
        <rFont val="Arial"/>
        <family val="2"/>
      </rPr>
      <t>-2025</t>
    </r>
    <r>
      <rPr>
        <b/>
        <sz val="18"/>
        <rFont val="宋体"/>
        <family val="3"/>
        <charset val="134"/>
      </rPr>
      <t>年</t>
    </r>
    <r>
      <rPr>
        <b/>
        <sz val="18"/>
        <rFont val="Arial"/>
        <family val="2"/>
      </rPr>
      <t>02</t>
    </r>
    <r>
      <rPr>
        <b/>
        <sz val="18"/>
        <rFont val="宋体"/>
        <family val="3"/>
        <charset val="134"/>
      </rPr>
      <t>月份工资表</t>
    </r>
    <phoneticPr fontId="3" type="noConversion"/>
  </si>
  <si>
    <r>
      <rPr>
        <b/>
        <sz val="18"/>
        <rFont val="宋体"/>
        <family val="3"/>
        <charset val="134"/>
      </rPr>
      <t>龙图信息</t>
    </r>
    <r>
      <rPr>
        <b/>
        <sz val="18"/>
        <rFont val="Arial"/>
        <family val="2"/>
      </rPr>
      <t>-2025</t>
    </r>
    <r>
      <rPr>
        <b/>
        <sz val="18"/>
        <rFont val="宋体"/>
        <family val="3"/>
        <charset val="134"/>
      </rPr>
      <t>年</t>
    </r>
    <r>
      <rPr>
        <b/>
        <sz val="18"/>
        <rFont val="Arial"/>
        <family val="2"/>
      </rPr>
      <t>03</t>
    </r>
    <r>
      <rPr>
        <b/>
        <sz val="18"/>
        <rFont val="宋体"/>
        <family val="3"/>
        <charset val="134"/>
      </rPr>
      <t>月份工资表</t>
    </r>
    <phoneticPr fontId="3" type="noConversion"/>
  </si>
  <si>
    <r>
      <rPr>
        <b/>
        <sz val="18"/>
        <rFont val="宋体"/>
        <family val="3"/>
        <charset val="134"/>
      </rPr>
      <t>龙图信息</t>
    </r>
    <r>
      <rPr>
        <b/>
        <sz val="18"/>
        <rFont val="Arial"/>
        <family val="2"/>
      </rPr>
      <t>-2025</t>
    </r>
    <r>
      <rPr>
        <b/>
        <sz val="18"/>
        <rFont val="宋体"/>
        <family val="3"/>
        <charset val="134"/>
      </rPr>
      <t>年</t>
    </r>
    <r>
      <rPr>
        <b/>
        <sz val="18"/>
        <rFont val="Arial"/>
        <family val="2"/>
      </rPr>
      <t>04</t>
    </r>
    <r>
      <rPr>
        <b/>
        <sz val="18"/>
        <rFont val="宋体"/>
        <family val="3"/>
        <charset val="134"/>
      </rPr>
      <t>月份工资表</t>
    </r>
    <phoneticPr fontId="3" type="noConversion"/>
  </si>
  <si>
    <r>
      <rPr>
        <b/>
        <sz val="18"/>
        <rFont val="宋体"/>
        <family val="3"/>
        <charset val="134"/>
      </rPr>
      <t>龙图信息</t>
    </r>
    <r>
      <rPr>
        <b/>
        <sz val="18"/>
        <rFont val="Arial"/>
        <family val="2"/>
      </rPr>
      <t>-2025</t>
    </r>
    <r>
      <rPr>
        <b/>
        <sz val="18"/>
        <rFont val="宋体"/>
        <family val="3"/>
        <charset val="134"/>
      </rPr>
      <t>年</t>
    </r>
    <r>
      <rPr>
        <b/>
        <sz val="18"/>
        <rFont val="Arial"/>
        <family val="2"/>
      </rPr>
      <t>05</t>
    </r>
    <r>
      <rPr>
        <b/>
        <sz val="18"/>
        <rFont val="宋体"/>
        <family val="3"/>
        <charset val="134"/>
      </rPr>
      <t>月份工资表</t>
    </r>
    <phoneticPr fontId="3" type="noConversion"/>
  </si>
  <si>
    <t>2025年6月当月提成汇总表</t>
    <phoneticPr fontId="2" type="noConversion"/>
  </si>
  <si>
    <t>序号</t>
    <phoneticPr fontId="2" type="noConversion"/>
  </si>
  <si>
    <t>人员姓名</t>
    <phoneticPr fontId="2" type="noConversion"/>
  </si>
  <si>
    <t>身份证号</t>
    <phoneticPr fontId="2" type="noConversion"/>
  </si>
  <si>
    <t>客服绩效</t>
    <phoneticPr fontId="2" type="noConversion"/>
  </si>
  <si>
    <t>销售绩效</t>
    <phoneticPr fontId="2" type="noConversion"/>
  </si>
  <si>
    <t>培训绩效</t>
    <phoneticPr fontId="2" type="noConversion"/>
  </si>
  <si>
    <t>——龙图信息员工2025年6月份考勤汇总表——</t>
    <phoneticPr fontId="2" type="noConversion"/>
  </si>
  <si>
    <t>部门</t>
  </si>
  <si>
    <t>序号</t>
  </si>
  <si>
    <t xml:space="preserve">姓名 </t>
  </si>
  <si>
    <t>旷工</t>
  </si>
  <si>
    <t>扣薪休假（H）</t>
  </si>
  <si>
    <t>其他带薪休假（H）</t>
  </si>
  <si>
    <t>餐补（元）</t>
  </si>
  <si>
    <t>车补（元）</t>
  </si>
  <si>
    <t>法定加班</t>
    <phoneticPr fontId="2" type="noConversion"/>
  </si>
  <si>
    <t>事假</t>
  </si>
  <si>
    <t>离职返</t>
    <phoneticPr fontId="2" type="noConversion"/>
  </si>
  <si>
    <t>病假</t>
  </si>
  <si>
    <t>产假</t>
  </si>
  <si>
    <t>陪产假</t>
  </si>
  <si>
    <t>流产假</t>
    <phoneticPr fontId="2" type="noConversion"/>
  </si>
  <si>
    <t>年假</t>
  </si>
  <si>
    <t>哺乳假</t>
  </si>
  <si>
    <t>产检假</t>
    <phoneticPr fontId="2" type="noConversion"/>
  </si>
  <si>
    <t>婚假</t>
    <phoneticPr fontId="2" type="noConversion"/>
  </si>
  <si>
    <t>丧假</t>
  </si>
  <si>
    <t>其它</t>
    <phoneticPr fontId="2" type="noConversion"/>
  </si>
  <si>
    <t>王佰超</t>
    <phoneticPr fontId="2" type="noConversion"/>
  </si>
  <si>
    <t>鲁碧</t>
    <phoneticPr fontId="2" type="noConversion"/>
  </si>
  <si>
    <t>宋昭成</t>
    <phoneticPr fontId="2" type="noConversion"/>
  </si>
  <si>
    <t>姜起波</t>
    <phoneticPr fontId="2" type="noConversion"/>
  </si>
  <si>
    <t>王昌旸</t>
    <phoneticPr fontId="2" type="noConversion"/>
  </si>
  <si>
    <t>杨国涛</t>
    <phoneticPr fontId="2" type="noConversion"/>
  </si>
  <si>
    <t>闫洪伟</t>
    <phoneticPr fontId="2" type="noConversion"/>
  </si>
  <si>
    <t>王军</t>
    <phoneticPr fontId="2" type="noConversion"/>
  </si>
  <si>
    <t>李海龙</t>
    <phoneticPr fontId="2" type="noConversion"/>
  </si>
  <si>
    <t>毛志鹏</t>
    <phoneticPr fontId="2" type="noConversion"/>
  </si>
  <si>
    <t>高文强</t>
    <phoneticPr fontId="2" type="noConversion"/>
  </si>
  <si>
    <t>王欢</t>
    <phoneticPr fontId="2" type="noConversion"/>
  </si>
  <si>
    <t>张思思</t>
    <phoneticPr fontId="2" type="noConversion"/>
  </si>
  <si>
    <t>赵秋磊</t>
    <phoneticPr fontId="2" type="noConversion"/>
  </si>
  <si>
    <t>李广旭</t>
    <phoneticPr fontId="2" type="noConversion"/>
  </si>
  <si>
    <t>单博涵</t>
    <phoneticPr fontId="2" type="noConversion"/>
  </si>
  <si>
    <t>杨雪</t>
    <phoneticPr fontId="2" type="noConversion"/>
  </si>
  <si>
    <t>陈琳</t>
    <phoneticPr fontId="2" type="noConversion"/>
  </si>
  <si>
    <t>鞠琪</t>
    <phoneticPr fontId="2" type="noConversion"/>
  </si>
  <si>
    <t>刘瑶</t>
    <phoneticPr fontId="2" type="noConversion"/>
  </si>
  <si>
    <t>吕文文</t>
    <phoneticPr fontId="2" type="noConversion"/>
  </si>
  <si>
    <t>宝佳</t>
    <phoneticPr fontId="2" type="noConversion"/>
  </si>
  <si>
    <t>张琪</t>
    <phoneticPr fontId="2" type="noConversion"/>
  </si>
  <si>
    <t>姜颖君</t>
    <phoneticPr fontId="2" type="noConversion"/>
  </si>
  <si>
    <t>陈秋阳</t>
    <phoneticPr fontId="2" type="noConversion"/>
  </si>
  <si>
    <t>张明超</t>
    <phoneticPr fontId="2" type="noConversion"/>
  </si>
  <si>
    <t>刘雨鑫</t>
    <phoneticPr fontId="2" type="noConversion"/>
  </si>
  <si>
    <t>G端服务组</t>
  </si>
  <si>
    <t>王立伯</t>
    <phoneticPr fontId="2" type="noConversion"/>
  </si>
  <si>
    <t>孙云龙</t>
    <phoneticPr fontId="2" type="noConversion"/>
  </si>
  <si>
    <t>刘强</t>
    <phoneticPr fontId="2" type="noConversion"/>
  </si>
  <si>
    <t>秦文志</t>
    <phoneticPr fontId="2" type="noConversion"/>
  </si>
  <si>
    <t>徐帅</t>
    <phoneticPr fontId="2" type="noConversion"/>
  </si>
  <si>
    <t>牟嘉文</t>
    <phoneticPr fontId="2" type="noConversion"/>
  </si>
  <si>
    <t>何广</t>
    <phoneticPr fontId="2" type="noConversion"/>
  </si>
  <si>
    <t>王连城</t>
    <phoneticPr fontId="2" type="noConversion"/>
  </si>
  <si>
    <t>资源中心-架构组</t>
  </si>
  <si>
    <t>蒋文武</t>
    <phoneticPr fontId="2" type="noConversion"/>
  </si>
  <si>
    <t>臧楠</t>
    <phoneticPr fontId="2" type="noConversion"/>
  </si>
  <si>
    <t>资源中心-数据组</t>
  </si>
  <si>
    <t>夏宇</t>
    <phoneticPr fontId="2" type="noConversion"/>
  </si>
  <si>
    <t>郝延敏</t>
    <phoneticPr fontId="2" type="noConversion"/>
  </si>
  <si>
    <t>刘荣章</t>
    <phoneticPr fontId="2" type="noConversion"/>
  </si>
  <si>
    <t>姜海龙</t>
    <phoneticPr fontId="2" type="noConversion"/>
  </si>
  <si>
    <t>资源中心-资源组</t>
  </si>
  <si>
    <t>钟新宇</t>
    <phoneticPr fontId="2" type="noConversion"/>
  </si>
  <si>
    <t>巩锡莹</t>
    <phoneticPr fontId="2" type="noConversion"/>
  </si>
  <si>
    <t>郑婕</t>
    <phoneticPr fontId="2" type="noConversion"/>
  </si>
  <si>
    <t>于新一</t>
    <phoneticPr fontId="2" type="noConversion"/>
  </si>
  <si>
    <t>姜玉刚</t>
    <phoneticPr fontId="2" type="noConversion"/>
  </si>
  <si>
    <t>石磊</t>
    <phoneticPr fontId="2" type="noConversion"/>
  </si>
  <si>
    <t>付荣廷</t>
    <phoneticPr fontId="2" type="noConversion"/>
  </si>
  <si>
    <t>马福闯</t>
    <phoneticPr fontId="2" type="noConversion"/>
  </si>
  <si>
    <t>杨志强</t>
    <phoneticPr fontId="2" type="noConversion"/>
  </si>
  <si>
    <t>田佳旭</t>
    <phoneticPr fontId="2" type="noConversion"/>
  </si>
  <si>
    <t>张慧艳</t>
    <phoneticPr fontId="2" type="noConversion"/>
  </si>
  <si>
    <t>杨佳男</t>
    <phoneticPr fontId="2" type="noConversion"/>
  </si>
  <si>
    <t>汪子洋</t>
    <phoneticPr fontId="2" type="noConversion"/>
  </si>
  <si>
    <t>华德生</t>
    <phoneticPr fontId="2" type="noConversion"/>
  </si>
  <si>
    <t>刘勇鑫</t>
    <phoneticPr fontId="2" type="noConversion"/>
  </si>
  <si>
    <t>李净</t>
    <phoneticPr fontId="2" type="noConversion"/>
  </si>
  <si>
    <t>金洋</t>
    <phoneticPr fontId="2" type="noConversion"/>
  </si>
  <si>
    <t>岳美静</t>
    <phoneticPr fontId="2" type="noConversion"/>
  </si>
  <si>
    <t>郝军</t>
    <phoneticPr fontId="2" type="noConversion"/>
  </si>
  <si>
    <t>张传林</t>
    <phoneticPr fontId="2" type="noConversion"/>
  </si>
  <si>
    <t>张权中</t>
    <phoneticPr fontId="2" type="noConversion"/>
  </si>
  <si>
    <t>李青</t>
    <phoneticPr fontId="2" type="noConversion"/>
  </si>
  <si>
    <t xml:space="preserve">方应广 </t>
    <phoneticPr fontId="2" type="noConversion"/>
  </si>
  <si>
    <t>刘天明</t>
    <phoneticPr fontId="2" type="noConversion"/>
  </si>
  <si>
    <t>IT服务部</t>
  </si>
  <si>
    <t>蒋本乐</t>
    <phoneticPr fontId="2" type="noConversion"/>
  </si>
  <si>
    <t>财务部</t>
  </si>
  <si>
    <t>1</t>
  </si>
  <si>
    <t>董小云</t>
    <phoneticPr fontId="2" type="noConversion"/>
  </si>
  <si>
    <t>袁秋琛</t>
    <phoneticPr fontId="2" type="noConversion"/>
  </si>
  <si>
    <t>赵虹</t>
    <phoneticPr fontId="2" type="noConversion"/>
  </si>
  <si>
    <t>项目管理办公室</t>
  </si>
  <si>
    <t>宋微</t>
    <phoneticPr fontId="2" type="noConversion"/>
  </si>
  <si>
    <t>商务法务部</t>
  </si>
  <si>
    <t>李超</t>
    <phoneticPr fontId="2" type="noConversion"/>
  </si>
  <si>
    <t>曹国敬</t>
    <phoneticPr fontId="2" type="noConversion"/>
  </si>
  <si>
    <t>人力资源&amp;行政部</t>
  </si>
  <si>
    <t>单珊</t>
    <phoneticPr fontId="2" type="noConversion"/>
  </si>
  <si>
    <t>王菲</t>
    <phoneticPr fontId="2" type="noConversion"/>
  </si>
  <si>
    <t xml:space="preserve"> </t>
    <phoneticPr fontId="2" type="noConversion"/>
  </si>
  <si>
    <t xml:space="preserve">备注：
1、本次统计时间段为：2025年6月1日早至2025年6月30日晚。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2" type="noConversion"/>
  </si>
  <si>
    <t>2、离职：何广2025年6月30日</t>
    <phoneticPr fontId="2" type="noConversion"/>
  </si>
  <si>
    <t>龙图信息-2025年6月份社保&amp;公积金表明细表（社保编号：31371288；公积金编号：111001233157）</t>
    <phoneticPr fontId="3" type="noConversion"/>
  </si>
  <si>
    <t>员工编号</t>
    <phoneticPr fontId="3" type="noConversion"/>
  </si>
  <si>
    <t>员工姓名</t>
    <phoneticPr fontId="3" type="noConversion"/>
  </si>
  <si>
    <t>部门</t>
    <phoneticPr fontId="3" type="noConversion"/>
  </si>
  <si>
    <t>职务</t>
    <phoneticPr fontId="3" type="noConversion"/>
  </si>
  <si>
    <t>福利缴纳日期</t>
    <phoneticPr fontId="3" type="noConversion"/>
  </si>
  <si>
    <t>社保帐号</t>
    <phoneticPr fontId="3" type="noConversion"/>
  </si>
  <si>
    <t>公积金帐号</t>
    <phoneticPr fontId="3" type="noConversion"/>
  </si>
  <si>
    <t>养老、失业、工伤基数</t>
    <phoneticPr fontId="3" type="noConversion"/>
  </si>
  <si>
    <t>医疗、生育基数</t>
    <phoneticPr fontId="3" type="noConversion"/>
  </si>
  <si>
    <t>采暖基数</t>
    <phoneticPr fontId="3" type="noConversion"/>
  </si>
  <si>
    <t>个人养老
（8%）</t>
    <phoneticPr fontId="3" type="noConversion"/>
  </si>
  <si>
    <t>个人医疗（2%）</t>
    <phoneticPr fontId="3" type="noConversion"/>
  </si>
  <si>
    <t>个人失业（0.5%）</t>
    <phoneticPr fontId="3" type="noConversion"/>
  </si>
  <si>
    <t>个人社保小计
（元）</t>
    <phoneticPr fontId="3" type="noConversion"/>
  </si>
  <si>
    <t>公司养老（16%）</t>
    <phoneticPr fontId="3" type="noConversion"/>
  </si>
  <si>
    <t>公司医疗（8%）</t>
    <phoneticPr fontId="3" type="noConversion"/>
  </si>
  <si>
    <t>公司失业
（0.5%）</t>
    <phoneticPr fontId="3" type="noConversion"/>
  </si>
  <si>
    <t>公司生育
（1%）</t>
    <phoneticPr fontId="3" type="noConversion"/>
  </si>
  <si>
    <t>公司大病（0.2%）</t>
    <phoneticPr fontId="3" type="noConversion"/>
  </si>
  <si>
    <t>公司采暖费(1%)</t>
    <phoneticPr fontId="3" type="noConversion"/>
  </si>
  <si>
    <t>公司社保小计 （元）</t>
    <phoneticPr fontId="3" type="noConversion"/>
  </si>
  <si>
    <t>社保合计
（元）</t>
    <phoneticPr fontId="3" type="noConversion"/>
  </si>
  <si>
    <t>公积金基数</t>
    <phoneticPr fontId="3" type="noConversion"/>
  </si>
  <si>
    <t>个人公积金（5％）</t>
    <phoneticPr fontId="3" type="noConversion"/>
  </si>
  <si>
    <t>公司公积金（5％）</t>
    <phoneticPr fontId="3" type="noConversion"/>
  </si>
  <si>
    <t>公积金小计
（元）</t>
    <phoneticPr fontId="3" type="noConversion"/>
  </si>
  <si>
    <t>合计
（元）</t>
    <phoneticPr fontId="3" type="noConversion"/>
  </si>
  <si>
    <t xml:space="preserve"> </t>
    <phoneticPr fontId="3" type="noConversion"/>
  </si>
  <si>
    <t>月平均工资</t>
    <phoneticPr fontId="3" type="noConversion"/>
  </si>
  <si>
    <t>个人大病（0.1%）</t>
    <phoneticPr fontId="3" type="noConversion"/>
  </si>
  <si>
    <t>公司工伤
（0.3%）</t>
    <phoneticPr fontId="3" type="noConversion"/>
  </si>
  <si>
    <t>74</t>
  </si>
  <si>
    <t>销售组长</t>
  </si>
  <si>
    <t>152103198503140044</t>
    <phoneticPr fontId="3" type="noConversion"/>
  </si>
  <si>
    <t>25857466</t>
    <phoneticPr fontId="3" type="noConversion"/>
  </si>
  <si>
    <t>113196311785</t>
  </si>
  <si>
    <t>张**</t>
    <phoneticPr fontId="3" type="noConversion"/>
  </si>
  <si>
    <t>D000888</t>
    <phoneticPr fontId="2" type="noConversion"/>
  </si>
  <si>
    <r>
      <rPr>
        <sz val="10"/>
        <rFont val="宋体"/>
        <family val="2"/>
        <charset val="134"/>
      </rPr>
      <t>当月费用扣除</t>
    </r>
    <r>
      <rPr>
        <sz val="10"/>
        <rFont val="Arial"/>
        <family val="2"/>
      </rPr>
      <t>-5000</t>
    </r>
    <r>
      <rPr>
        <sz val="10"/>
        <rFont val="宋体"/>
        <family val="2"/>
        <charset val="134"/>
      </rPr>
      <t>元</t>
    </r>
    <phoneticPr fontId="2" type="noConversion"/>
  </si>
  <si>
    <t>序号</t>
    <phoneticPr fontId="35" type="noConversion"/>
  </si>
  <si>
    <t>姓名</t>
    <phoneticPr fontId="35" type="noConversion"/>
  </si>
  <si>
    <t>身份证号</t>
    <phoneticPr fontId="35" type="noConversion"/>
  </si>
  <si>
    <t>累计专项附加扣除</t>
    <phoneticPr fontId="35" type="noConversion"/>
  </si>
  <si>
    <t>D000827</t>
    <phoneticPr fontId="35" type="noConversion"/>
  </si>
  <si>
    <t>152103198503140044</t>
    <phoneticPr fontId="35" type="noConversion"/>
  </si>
  <si>
    <t>张**</t>
    <phoneticPr fontId="35" type="noConversion"/>
  </si>
  <si>
    <t>附件4：专项附加扣除累计表（此为负值）</t>
    <phoneticPr fontId="2" type="noConversion"/>
  </si>
  <si>
    <t>当月费用扣除标准</t>
    <phoneticPr fontId="3" type="noConversion"/>
  </si>
  <si>
    <t>5000元*累计月份（如制作2025年6月工资，则累计为2024年12月-2025年5月）+当月费用扣除标准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</si>
</sst>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76" formatCode="#,##0.00_ "/>
    <numFmt numFmtId="177" formatCode="0.00;[Red]0.00"/>
    <numFmt numFmtId="178" formatCode="0.00_ "/>
    <numFmt numFmtId="179" formatCode="#,##0.00_ ;[Red]\-#,##0.00\ "/>
    <numFmt numFmtId="180" formatCode="0.00_);\(0.00\)"/>
    <numFmt numFmtId="181" formatCode="0_);[Red]\(0\)"/>
    <numFmt numFmtId="186" formatCode="0.00_);[Red]\(0.00\)"/>
    <numFmt numFmtId="187" formatCode="yyyy\-m\-d"/>
    <numFmt numFmtId="188" formatCode="0_ "/>
    <numFmt numFmtId="189" formatCode="0;[Red]0"/>
  </numFmts>
  <fonts count="36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10"/>
      <name val="Verdana"/>
      <family val="2"/>
    </font>
    <font>
      <b/>
      <sz val="10"/>
      <name val="宋体"/>
      <family val="3"/>
      <charset val="134"/>
    </font>
    <font>
      <b/>
      <sz val="10"/>
      <name val="Times New Roman"/>
      <family val="1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name val="Arial"/>
      <family val="2"/>
    </font>
    <font>
      <sz val="10"/>
      <name val="等线"/>
      <family val="3"/>
      <charset val="134"/>
      <scheme val="minor"/>
    </font>
    <font>
      <sz val="10"/>
      <color theme="1"/>
      <name val="Arial"/>
      <family val="2"/>
    </font>
    <font>
      <b/>
      <sz val="10"/>
      <name val="宋体"/>
      <family val="1"/>
      <charset val="134"/>
    </font>
    <font>
      <sz val="11"/>
      <color theme="1"/>
      <name val="等线"/>
      <family val="2"/>
      <scheme val="minor"/>
    </font>
    <font>
      <sz val="10"/>
      <name val="宋体"/>
      <family val="2"/>
      <charset val="134"/>
    </font>
    <font>
      <b/>
      <sz val="18"/>
      <name val="Arial"/>
      <family val="3"/>
      <charset val="134"/>
    </font>
    <font>
      <b/>
      <sz val="18"/>
      <name val="宋体"/>
      <family val="3"/>
      <charset val="134"/>
    </font>
    <font>
      <b/>
      <sz val="18"/>
      <name val="Arial"/>
      <family val="2"/>
    </font>
    <font>
      <sz val="10"/>
      <name val="Times New Roman"/>
      <family val="1"/>
    </font>
    <font>
      <b/>
      <sz val="14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18"/>
      <name val="华文楷体"/>
      <family val="3"/>
      <charset val="134"/>
    </font>
    <font>
      <b/>
      <sz val="10"/>
      <color indexed="12"/>
      <name val="宋体"/>
      <family val="3"/>
      <charset val="134"/>
    </font>
    <font>
      <b/>
      <sz val="10"/>
      <color indexed="10"/>
      <name val="宋体"/>
      <family val="3"/>
      <charset val="134"/>
    </font>
    <font>
      <b/>
      <sz val="10"/>
      <color rgb="FFFF0000"/>
      <name val="宋体"/>
      <family val="3"/>
      <charset val="134"/>
    </font>
    <font>
      <sz val="10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20"/>
      <name val="等线"/>
      <family val="3"/>
      <charset val="134"/>
      <scheme val="minor"/>
    </font>
    <font>
      <b/>
      <sz val="10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0"/>
      <name val="Helv"/>
      <family val="2"/>
    </font>
    <font>
      <sz val="10"/>
      <name val="Arial"/>
      <family val="2"/>
      <charset val="134"/>
    </font>
    <font>
      <sz val="11"/>
      <color indexed="8"/>
      <name val="宋体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3" fillId="0" borderId="0"/>
    <xf numFmtId="0" fontId="22" fillId="0" borderId="0"/>
    <xf numFmtId="0" fontId="23" fillId="0" borderId="0">
      <alignment vertical="center"/>
    </xf>
    <xf numFmtId="0" fontId="9" fillId="0" borderId="0"/>
    <xf numFmtId="0" fontId="23" fillId="0" borderId="0">
      <alignment vertical="center"/>
    </xf>
    <xf numFmtId="0" fontId="33" fillId="0" borderId="0"/>
  </cellStyleXfs>
  <cellXfs count="143">
    <xf numFmtId="0" fontId="0" fillId="0" borderId="0" xfId="0"/>
    <xf numFmtId="176" fontId="1" fillId="2" borderId="1" xfId="0" applyNumberFormat="1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40" fontId="1" fillId="2" borderId="1" xfId="0" applyNumberFormat="1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6" fontId="6" fillId="5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1" fillId="6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/>
    </xf>
    <xf numFmtId="178" fontId="10" fillId="5" borderId="1" xfId="0" applyNumberFormat="1" applyFont="1" applyFill="1" applyBorder="1" applyAlignment="1">
      <alignment horizontal="left" vertical="center"/>
    </xf>
    <xf numFmtId="178" fontId="10" fillId="7" borderId="1" xfId="0" applyNumberFormat="1" applyFont="1" applyFill="1" applyBorder="1" applyAlignment="1">
      <alignment horizontal="left" vertical="center"/>
    </xf>
    <xf numFmtId="177" fontId="11" fillId="0" borderId="1" xfId="0" applyNumberFormat="1" applyFont="1" applyBorder="1" applyAlignment="1">
      <alignment horizontal="left" vertical="center"/>
    </xf>
    <xf numFmtId="14" fontId="9" fillId="7" borderId="1" xfId="0" applyNumberFormat="1" applyFont="1" applyFill="1" applyBorder="1" applyAlignment="1">
      <alignment horizontal="left" vertical="center"/>
    </xf>
    <xf numFmtId="177" fontId="9" fillId="7" borderId="1" xfId="0" applyNumberFormat="1" applyFont="1" applyFill="1" applyBorder="1" applyAlignment="1">
      <alignment horizontal="left" vertical="center"/>
    </xf>
    <xf numFmtId="179" fontId="9" fillId="0" borderId="1" xfId="0" applyNumberFormat="1" applyFont="1" applyBorder="1" applyAlignment="1">
      <alignment horizontal="left" vertical="center"/>
    </xf>
    <xf numFmtId="40" fontId="9" fillId="5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176" fontId="1" fillId="9" borderId="1" xfId="0" applyNumberFormat="1" applyFont="1" applyFill="1" applyBorder="1" applyAlignment="1">
      <alignment horizontal="center" vertical="center" wrapText="1"/>
    </xf>
    <xf numFmtId="177" fontId="1" fillId="3" borderId="1" xfId="0" applyNumberFormat="1" applyFont="1" applyFill="1" applyBorder="1" applyAlignment="1">
      <alignment horizontal="center" vertical="center" wrapText="1"/>
    </xf>
    <xf numFmtId="176" fontId="15" fillId="5" borderId="0" xfId="0" applyNumberFormat="1" applyFont="1" applyFill="1" applyAlignment="1">
      <alignment vertical="center"/>
    </xf>
    <xf numFmtId="176" fontId="17" fillId="5" borderId="0" xfId="0" applyNumberFormat="1" applyFont="1" applyFill="1" applyAlignment="1">
      <alignment vertical="center"/>
    </xf>
    <xf numFmtId="14" fontId="17" fillId="5" borderId="0" xfId="0" applyNumberFormat="1" applyFont="1" applyFill="1" applyAlignment="1">
      <alignment vertical="center"/>
    </xf>
    <xf numFmtId="176" fontId="18" fillId="5" borderId="0" xfId="0" applyNumberFormat="1" applyFont="1" applyFill="1" applyAlignment="1">
      <alignment horizontal="center" vertical="center"/>
    </xf>
    <xf numFmtId="181" fontId="9" fillId="0" borderId="1" xfId="0" applyNumberFormat="1" applyFont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179" fontId="9" fillId="7" borderId="1" xfId="0" applyNumberFormat="1" applyFont="1" applyFill="1" applyBorder="1" applyAlignment="1">
      <alignment horizontal="left" vertical="center"/>
    </xf>
    <xf numFmtId="176" fontId="9" fillId="7" borderId="1" xfId="0" applyNumberFormat="1" applyFont="1" applyFill="1" applyBorder="1" applyAlignment="1">
      <alignment horizontal="left" vertical="center"/>
    </xf>
    <xf numFmtId="176" fontId="9" fillId="7" borderId="0" xfId="0" applyNumberFormat="1" applyFont="1" applyFill="1" applyAlignment="1">
      <alignment horizontal="left" vertical="center"/>
    </xf>
    <xf numFmtId="176" fontId="5" fillId="5" borderId="1" xfId="0" applyNumberFormat="1" applyFont="1" applyFill="1" applyBorder="1" applyAlignment="1">
      <alignment horizontal="center" vertical="center" wrapText="1"/>
    </xf>
    <xf numFmtId="40" fontId="9" fillId="7" borderId="1" xfId="0" applyNumberFormat="1" applyFont="1" applyFill="1" applyBorder="1" applyAlignment="1">
      <alignment horizontal="left" vertical="center"/>
    </xf>
    <xf numFmtId="0" fontId="19" fillId="0" borderId="2" xfId="0" applyFont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43" fontId="21" fillId="0" borderId="1" xfId="1" applyFont="1" applyBorder="1" applyAlignment="1">
      <alignment horizontal="center" vertical="center"/>
    </xf>
    <xf numFmtId="0" fontId="22" fillId="0" borderId="0" xfId="4" applyFill="1"/>
    <xf numFmtId="0" fontId="20" fillId="0" borderId="1" xfId="3" applyFont="1" applyFill="1" applyBorder="1" applyAlignment="1">
      <alignment horizontal="center" vertical="center" wrapText="1"/>
    </xf>
    <xf numFmtId="0" fontId="28" fillId="0" borderId="1" xfId="5" applyFont="1" applyFill="1" applyBorder="1" applyAlignment="1">
      <alignment horizontal="center" vertical="center"/>
    </xf>
    <xf numFmtId="0" fontId="27" fillId="0" borderId="7" xfId="3" applyFont="1" applyFill="1" applyBorder="1" applyAlignment="1">
      <alignment horizontal="center" vertical="center" wrapText="1"/>
    </xf>
    <xf numFmtId="0" fontId="20" fillId="0" borderId="1" xfId="3" applyFont="1" applyFill="1" applyBorder="1" applyAlignment="1">
      <alignment horizontal="center" vertical="center" wrapText="1" readingOrder="1"/>
    </xf>
    <xf numFmtId="0" fontId="20" fillId="0" borderId="1" xfId="5" applyFont="1" applyFill="1" applyBorder="1" applyAlignment="1">
      <alignment horizontal="center" vertical="center"/>
    </xf>
    <xf numFmtId="0" fontId="20" fillId="0" borderId="7" xfId="3" applyFont="1" applyFill="1" applyBorder="1" applyAlignment="1">
      <alignment horizontal="center" vertical="center" wrapText="1"/>
    </xf>
    <xf numFmtId="0" fontId="22" fillId="0" borderId="1" xfId="4" applyFill="1" applyBorder="1"/>
    <xf numFmtId="0" fontId="22" fillId="0" borderId="0" xfId="2" applyFill="1" applyAlignment="1"/>
    <xf numFmtId="0" fontId="24" fillId="0" borderId="1" xfId="3" applyFont="1" applyFill="1" applyBorder="1" applyAlignment="1">
      <alignment horizontal="center" vertical="center"/>
    </xf>
    <xf numFmtId="0" fontId="25" fillId="0" borderId="3" xfId="3" applyFont="1" applyFill="1" applyBorder="1" applyAlignment="1">
      <alignment horizontal="center" vertical="center"/>
    </xf>
    <xf numFmtId="0" fontId="25" fillId="0" borderId="3" xfId="5" applyFont="1" applyFill="1" applyBorder="1" applyAlignment="1">
      <alignment horizontal="center" vertical="center" readingOrder="1"/>
    </xf>
    <xf numFmtId="0" fontId="25" fillId="0" borderId="3" xfId="5" applyFont="1" applyFill="1" applyBorder="1" applyAlignment="1">
      <alignment horizontal="center" vertical="center"/>
    </xf>
    <xf numFmtId="0" fontId="26" fillId="0" borderId="3" xfId="5" applyFont="1" applyFill="1" applyBorder="1" applyAlignment="1">
      <alignment horizontal="center" vertical="center" wrapText="1"/>
    </xf>
    <xf numFmtId="0" fontId="27" fillId="0" borderId="4" xfId="3" applyFont="1" applyFill="1" applyBorder="1" applyAlignment="1">
      <alignment horizontal="center" vertical="center" wrapText="1" readingOrder="1"/>
    </xf>
    <xf numFmtId="0" fontId="27" fillId="0" borderId="5" xfId="3" applyFont="1" applyFill="1" applyBorder="1" applyAlignment="1">
      <alignment horizontal="center" vertical="center" wrapText="1" readingOrder="1"/>
    </xf>
    <xf numFmtId="0" fontId="27" fillId="0" borderId="6" xfId="3" applyFont="1" applyFill="1" applyBorder="1" applyAlignment="1">
      <alignment horizontal="center" vertical="center" wrapText="1" readingOrder="1"/>
    </xf>
    <xf numFmtId="0" fontId="25" fillId="0" borderId="4" xfId="3" applyFont="1" applyFill="1" applyBorder="1" applyAlignment="1">
      <alignment horizontal="center" vertical="center" wrapText="1" readingOrder="1"/>
    </xf>
    <xf numFmtId="0" fontId="25" fillId="0" borderId="5" xfId="3" applyFont="1" applyFill="1" applyBorder="1" applyAlignment="1">
      <alignment horizontal="center" vertical="center" wrapText="1" readingOrder="1"/>
    </xf>
    <xf numFmtId="0" fontId="25" fillId="0" borderId="6" xfId="3" applyFont="1" applyFill="1" applyBorder="1" applyAlignment="1">
      <alignment horizontal="center" vertical="center" wrapText="1" readingOrder="1"/>
    </xf>
    <xf numFmtId="0" fontId="25" fillId="0" borderId="3" xfId="3" applyFont="1" applyFill="1" applyBorder="1" applyAlignment="1">
      <alignment horizontal="center" vertical="center" wrapText="1"/>
    </xf>
    <xf numFmtId="0" fontId="25" fillId="0" borderId="7" xfId="3" applyFont="1" applyFill="1" applyBorder="1" applyAlignment="1">
      <alignment horizontal="center" vertical="center"/>
    </xf>
    <xf numFmtId="0" fontId="25" fillId="0" borderId="7" xfId="5" applyFont="1" applyFill="1" applyBorder="1" applyAlignment="1">
      <alignment horizontal="center" vertical="center" readingOrder="1"/>
    </xf>
    <xf numFmtId="0" fontId="25" fillId="0" borderId="7" xfId="5" applyFont="1" applyFill="1" applyBorder="1" applyAlignment="1">
      <alignment horizontal="center" vertical="center"/>
    </xf>
    <xf numFmtId="0" fontId="26" fillId="0" borderId="7" xfId="5" applyFont="1" applyFill="1" applyBorder="1" applyAlignment="1">
      <alignment horizontal="center" vertical="center" wrapText="1"/>
    </xf>
    <xf numFmtId="0" fontId="26" fillId="0" borderId="7" xfId="3" applyFont="1" applyFill="1" applyBorder="1" applyAlignment="1">
      <alignment horizontal="center" vertical="center" wrapText="1"/>
    </xf>
    <xf numFmtId="0" fontId="27" fillId="0" borderId="1" xfId="3" applyFont="1" applyFill="1" applyBorder="1" applyAlignment="1">
      <alignment horizontal="center" vertical="center" wrapText="1" readingOrder="1"/>
    </xf>
    <xf numFmtId="0" fontId="25" fillId="0" borderId="1" xfId="3" applyFont="1" applyFill="1" applyBorder="1" applyAlignment="1">
      <alignment horizontal="center" vertical="center" wrapText="1" readingOrder="1"/>
    </xf>
    <xf numFmtId="0" fontId="25" fillId="0" borderId="8" xfId="3" applyFont="1" applyFill="1" applyBorder="1" applyAlignment="1">
      <alignment horizontal="center" vertical="center" wrapText="1" readingOrder="1"/>
    </xf>
    <xf numFmtId="0" fontId="25" fillId="0" borderId="7" xfId="3" applyFont="1" applyFill="1" applyBorder="1" applyAlignment="1">
      <alignment horizontal="center" vertical="center" wrapText="1"/>
    </xf>
    <xf numFmtId="0" fontId="5" fillId="0" borderId="3" xfId="5" applyFont="1" applyFill="1" applyBorder="1" applyAlignment="1">
      <alignment horizontal="center" vertical="center" readingOrder="1"/>
    </xf>
    <xf numFmtId="0" fontId="5" fillId="0" borderId="8" xfId="5" applyFont="1" applyFill="1" applyBorder="1" applyAlignment="1">
      <alignment horizontal="center" vertical="center" readingOrder="1"/>
    </xf>
    <xf numFmtId="0" fontId="5" fillId="0" borderId="7" xfId="5" applyFont="1" applyFill="1" applyBorder="1" applyAlignment="1">
      <alignment horizontal="center" vertical="center" readingOrder="1"/>
    </xf>
    <xf numFmtId="0" fontId="5" fillId="0" borderId="7" xfId="5" applyFont="1" applyFill="1" applyBorder="1" applyAlignment="1">
      <alignment horizontal="center" vertical="center" readingOrder="1"/>
    </xf>
    <xf numFmtId="0" fontId="20" fillId="0" borderId="7" xfId="5" applyFont="1" applyFill="1" applyBorder="1" applyAlignment="1">
      <alignment horizontal="center" vertical="center"/>
    </xf>
    <xf numFmtId="0" fontId="22" fillId="0" borderId="0" xfId="4" applyFill="1" applyAlignment="1">
      <alignment wrapText="1"/>
    </xf>
    <xf numFmtId="0" fontId="25" fillId="0" borderId="9" xfId="3" applyFont="1" applyFill="1" applyBorder="1" applyAlignment="1">
      <alignment horizontal="left" vertical="center" wrapText="1"/>
    </xf>
    <xf numFmtId="0" fontId="25" fillId="0" borderId="10" xfId="3" applyFont="1" applyFill="1" applyBorder="1" applyAlignment="1">
      <alignment horizontal="left" vertical="center" wrapText="1"/>
    </xf>
    <xf numFmtId="0" fontId="25" fillId="0" borderId="11" xfId="3" applyFont="1" applyFill="1" applyBorder="1" applyAlignment="1">
      <alignment horizontal="left" vertical="center" wrapText="1"/>
    </xf>
    <xf numFmtId="0" fontId="25" fillId="0" borderId="12" xfId="3" applyFont="1" applyFill="1" applyBorder="1" applyAlignment="1">
      <alignment horizontal="left" vertical="center" wrapText="1"/>
    </xf>
    <xf numFmtId="0" fontId="25" fillId="0" borderId="0" xfId="3" applyFont="1" applyFill="1" applyAlignment="1">
      <alignment horizontal="left" vertical="center" wrapText="1"/>
    </xf>
    <xf numFmtId="0" fontId="25" fillId="0" borderId="13" xfId="3" applyFont="1" applyFill="1" applyBorder="1" applyAlignment="1">
      <alignment horizontal="left" vertical="center" wrapText="1"/>
    </xf>
    <xf numFmtId="0" fontId="25" fillId="0" borderId="14" xfId="3" applyFont="1" applyFill="1" applyBorder="1" applyAlignment="1">
      <alignment horizontal="left" vertical="center" wrapText="1"/>
    </xf>
    <xf numFmtId="0" fontId="25" fillId="0" borderId="2" xfId="3" applyFont="1" applyFill="1" applyBorder="1" applyAlignment="1">
      <alignment horizontal="left" vertical="center" wrapText="1"/>
    </xf>
    <xf numFmtId="0" fontId="25" fillId="0" borderId="15" xfId="3" applyFont="1" applyFill="1" applyBorder="1" applyAlignment="1">
      <alignment horizontal="left" vertical="center" wrapText="1"/>
    </xf>
    <xf numFmtId="0" fontId="29" fillId="0" borderId="0" xfId="4" applyFont="1" applyFill="1"/>
    <xf numFmtId="0" fontId="22" fillId="11" borderId="0" xfId="2" applyFill="1" applyAlignment="1"/>
    <xf numFmtId="0" fontId="20" fillId="11" borderId="1" xfId="3" applyFont="1" applyFill="1" applyBorder="1" applyAlignment="1">
      <alignment horizontal="center" vertical="center" wrapText="1"/>
    </xf>
    <xf numFmtId="0" fontId="28" fillId="11" borderId="1" xfId="5" applyFont="1" applyFill="1" applyBorder="1" applyAlignment="1">
      <alignment horizontal="center" vertical="center"/>
    </xf>
    <xf numFmtId="0" fontId="27" fillId="11" borderId="7" xfId="3" applyFont="1" applyFill="1" applyBorder="1" applyAlignment="1">
      <alignment horizontal="center" vertical="center" wrapText="1"/>
    </xf>
    <xf numFmtId="0" fontId="20" fillId="11" borderId="1" xfId="3" applyFont="1" applyFill="1" applyBorder="1" applyAlignment="1">
      <alignment horizontal="center" vertical="center" wrapText="1" readingOrder="1"/>
    </xf>
    <xf numFmtId="0" fontId="20" fillId="11" borderId="1" xfId="5" applyFont="1" applyFill="1" applyBorder="1" applyAlignment="1">
      <alignment horizontal="center" vertical="center"/>
    </xf>
    <xf numFmtId="0" fontId="20" fillId="11" borderId="7" xfId="3" applyFont="1" applyFill="1" applyBorder="1" applyAlignment="1">
      <alignment horizontal="center" vertical="center" wrapText="1"/>
    </xf>
    <xf numFmtId="0" fontId="22" fillId="11" borderId="1" xfId="4" applyFill="1" applyBorder="1"/>
    <xf numFmtId="0" fontId="22" fillId="11" borderId="0" xfId="4" applyFill="1"/>
    <xf numFmtId="0" fontId="30" fillId="0" borderId="0" xfId="6" applyFont="1" applyAlignment="1">
      <alignment horizontal="center" vertical="center"/>
    </xf>
    <xf numFmtId="0" fontId="32" fillId="0" borderId="0" xfId="6" applyFont="1" applyAlignment="1">
      <alignment horizontal="center" vertical="center"/>
    </xf>
    <xf numFmtId="0" fontId="10" fillId="0" borderId="0" xfId="6" applyFont="1" applyAlignment="1">
      <alignment horizontal="center" vertical="center" wrapText="1"/>
    </xf>
    <xf numFmtId="49" fontId="10" fillId="7" borderId="16" xfId="7" applyNumberFormat="1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187" fontId="28" fillId="0" borderId="1" xfId="0" applyNumberFormat="1" applyFont="1" applyBorder="1" applyAlignment="1">
      <alignment horizontal="center" vertical="center"/>
    </xf>
    <xf numFmtId="0" fontId="10" fillId="7" borderId="1" xfId="0" quotePrefix="1" applyFont="1" applyFill="1" applyBorder="1" applyAlignment="1">
      <alignment horizontal="center" vertical="center"/>
    </xf>
    <xf numFmtId="188" fontId="10" fillId="7" borderId="1" xfId="6" applyNumberFormat="1" applyFont="1" applyFill="1" applyBorder="1" applyAlignment="1">
      <alignment horizontal="center" vertical="center"/>
    </xf>
    <xf numFmtId="189" fontId="10" fillId="7" borderId="1" xfId="6" applyNumberFormat="1" applyFont="1" applyFill="1" applyBorder="1" applyAlignment="1">
      <alignment horizontal="center" vertical="center"/>
    </xf>
    <xf numFmtId="2" fontId="10" fillId="7" borderId="1" xfId="6" applyNumberFormat="1" applyFont="1" applyFill="1" applyBorder="1" applyAlignment="1">
      <alignment horizontal="center" vertical="center" wrapText="1"/>
    </xf>
    <xf numFmtId="0" fontId="10" fillId="7" borderId="1" xfId="7" applyFont="1" applyFill="1" applyBorder="1" applyAlignment="1">
      <alignment horizontal="center" vertical="center"/>
    </xf>
    <xf numFmtId="186" fontId="10" fillId="7" borderId="1" xfId="6" applyNumberFormat="1" applyFont="1" applyFill="1" applyBorder="1" applyAlignment="1">
      <alignment horizontal="center" vertical="center"/>
    </xf>
    <xf numFmtId="186" fontId="10" fillId="7" borderId="1" xfId="8" applyNumberFormat="1" applyFont="1" applyFill="1" applyBorder="1" applyAlignment="1">
      <alignment horizontal="center" vertical="center" wrapText="1"/>
    </xf>
    <xf numFmtId="2" fontId="10" fillId="7" borderId="1" xfId="8" applyNumberFormat="1" applyFont="1" applyFill="1" applyBorder="1" applyAlignment="1">
      <alignment horizontal="center" vertical="center" wrapText="1"/>
    </xf>
    <xf numFmtId="2" fontId="10" fillId="7" borderId="4" xfId="6" applyNumberFormat="1" applyFont="1" applyFill="1" applyBorder="1" applyAlignment="1">
      <alignment horizontal="center" vertical="center"/>
    </xf>
    <xf numFmtId="2" fontId="10" fillId="7" borderId="0" xfId="6" applyNumberFormat="1" applyFont="1" applyFill="1" applyAlignment="1">
      <alignment horizontal="center" vertical="center"/>
    </xf>
    <xf numFmtId="49" fontId="2" fillId="0" borderId="0" xfId="6" applyNumberFormat="1" applyFont="1" applyAlignment="1">
      <alignment horizontal="center" vertical="center"/>
    </xf>
    <xf numFmtId="2" fontId="2" fillId="0" borderId="0" xfId="6" applyNumberFormat="1" applyFont="1" applyAlignment="1">
      <alignment horizontal="center" vertical="center"/>
    </xf>
    <xf numFmtId="2" fontId="10" fillId="0" borderId="0" xfId="6" applyNumberFormat="1" applyFont="1" applyAlignment="1">
      <alignment horizontal="center" vertical="center"/>
    </xf>
    <xf numFmtId="186" fontId="2" fillId="0" borderId="0" xfId="6" applyNumberFormat="1" applyFont="1" applyAlignment="1">
      <alignment horizontal="center" vertical="center"/>
    </xf>
    <xf numFmtId="2" fontId="2" fillId="0" borderId="0" xfId="6" applyNumberFormat="1" applyFont="1" applyAlignment="1">
      <alignment horizontal="left" vertical="center"/>
    </xf>
    <xf numFmtId="0" fontId="31" fillId="0" borderId="0" xfId="6" applyFont="1" applyAlignment="1">
      <alignment horizontal="center" vertical="center"/>
    </xf>
    <xf numFmtId="186" fontId="30" fillId="0" borderId="0" xfId="6" applyNumberFormat="1" applyFont="1" applyAlignment="1">
      <alignment horizontal="center" vertical="center"/>
    </xf>
    <xf numFmtId="2" fontId="31" fillId="11" borderId="17" xfId="6" applyNumberFormat="1" applyFont="1" applyFill="1" applyBorder="1" applyAlignment="1">
      <alignment horizontal="center" vertical="center" wrapText="1"/>
    </xf>
    <xf numFmtId="2" fontId="31" fillId="11" borderId="18" xfId="6" applyNumberFormat="1" applyFont="1" applyFill="1" applyBorder="1" applyAlignment="1">
      <alignment horizontal="center" vertical="center" wrapText="1"/>
    </xf>
    <xf numFmtId="0" fontId="31" fillId="10" borderId="18" xfId="6" applyFont="1" applyFill="1" applyBorder="1" applyAlignment="1">
      <alignment horizontal="center" vertical="center" wrapText="1"/>
    </xf>
    <xf numFmtId="0" fontId="31" fillId="3" borderId="18" xfId="6" applyFont="1" applyFill="1" applyBorder="1" applyAlignment="1">
      <alignment horizontal="center" vertical="center" wrapText="1"/>
    </xf>
    <xf numFmtId="0" fontId="31" fillId="12" borderId="18" xfId="6" applyFont="1" applyFill="1" applyBorder="1" applyAlignment="1">
      <alignment horizontal="center" vertical="center" wrapText="1"/>
    </xf>
    <xf numFmtId="186" fontId="31" fillId="12" borderId="18" xfId="6" applyNumberFormat="1" applyFont="1" applyFill="1" applyBorder="1" applyAlignment="1">
      <alignment horizontal="center" vertical="center" wrapText="1"/>
    </xf>
    <xf numFmtId="186" fontId="31" fillId="9" borderId="18" xfId="6" applyNumberFormat="1" applyFont="1" applyFill="1" applyBorder="1" applyAlignment="1">
      <alignment horizontal="center" vertical="center" wrapText="1"/>
    </xf>
    <xf numFmtId="0" fontId="31" fillId="13" borderId="18" xfId="6" applyFont="1" applyFill="1" applyBorder="1" applyAlignment="1">
      <alignment horizontal="center" vertical="center" wrapText="1"/>
    </xf>
    <xf numFmtId="186" fontId="31" fillId="13" borderId="18" xfId="6" applyNumberFormat="1" applyFont="1" applyFill="1" applyBorder="1" applyAlignment="1">
      <alignment horizontal="center" vertical="center" wrapText="1"/>
    </xf>
    <xf numFmtId="2" fontId="31" fillId="13" borderId="18" xfId="6" applyNumberFormat="1" applyFont="1" applyFill="1" applyBorder="1" applyAlignment="1">
      <alignment horizontal="center" vertical="center" wrapText="1"/>
    </xf>
    <xf numFmtId="1" fontId="31" fillId="13" borderId="18" xfId="6" applyNumberFormat="1" applyFont="1" applyFill="1" applyBorder="1" applyAlignment="1">
      <alignment horizontal="center" vertical="center" wrapText="1"/>
    </xf>
    <xf numFmtId="1" fontId="31" fillId="6" borderId="19" xfId="6" applyNumberFormat="1" applyFont="1" applyFill="1" applyBorder="1" applyAlignment="1">
      <alignment horizontal="center" vertical="center" wrapText="1"/>
    </xf>
    <xf numFmtId="179" fontId="34" fillId="7" borderId="1" xfId="0" applyNumberFormat="1" applyFont="1" applyFill="1" applyBorder="1" applyAlignment="1">
      <alignment horizontal="left" vertical="center"/>
    </xf>
    <xf numFmtId="180" fontId="35" fillId="0" borderId="1" xfId="0" applyNumberFormat="1" applyFont="1" applyBorder="1"/>
    <xf numFmtId="178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178" fontId="10" fillId="0" borderId="1" xfId="0" applyNumberFormat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177" fontId="11" fillId="0" borderId="1" xfId="0" applyNumberFormat="1" applyFont="1" applyFill="1" applyBorder="1" applyAlignment="1">
      <alignment horizontal="left" vertical="center"/>
    </xf>
    <xf numFmtId="14" fontId="9" fillId="0" borderId="1" xfId="0" applyNumberFormat="1" applyFont="1" applyFill="1" applyBorder="1" applyAlignment="1">
      <alignment horizontal="left" vertical="center"/>
    </xf>
    <xf numFmtId="177" fontId="9" fillId="0" borderId="1" xfId="0" applyNumberFormat="1" applyFont="1" applyFill="1" applyBorder="1" applyAlignment="1">
      <alignment horizontal="left" vertical="center"/>
    </xf>
    <xf numFmtId="179" fontId="9" fillId="0" borderId="1" xfId="0" applyNumberFormat="1" applyFont="1" applyFill="1" applyBorder="1" applyAlignment="1">
      <alignment horizontal="left" vertical="center"/>
    </xf>
    <xf numFmtId="176" fontId="9" fillId="0" borderId="1" xfId="0" applyNumberFormat="1" applyFont="1" applyFill="1" applyBorder="1" applyAlignment="1">
      <alignment horizontal="left" vertical="center"/>
    </xf>
    <xf numFmtId="40" fontId="9" fillId="0" borderId="1" xfId="0" applyNumberFormat="1" applyFont="1" applyFill="1" applyBorder="1" applyAlignment="1">
      <alignment horizontal="left" vertical="center"/>
    </xf>
    <xf numFmtId="0" fontId="0" fillId="0" borderId="0" xfId="0" applyFill="1"/>
  </cellXfs>
  <cellStyles count="9">
    <cellStyle name="0,0_x000d__x000a_NA_x000d__x000a_" xfId="6" xr:uid="{1ACA3E8F-36D7-4BE0-9477-1E0807DF7385}"/>
    <cellStyle name="常规" xfId="0" builtinId="0"/>
    <cellStyle name="常规 2" xfId="2" xr:uid="{20BCDE4D-C813-4F31-BBB5-EA326D882F23}"/>
    <cellStyle name="常规 3" xfId="4" xr:uid="{4F7954F8-F9EC-4937-91E8-EB69A13C177D}"/>
    <cellStyle name="常规_DDIT_AMD_2006年12月份员工考勤汇总表" xfId="5" xr:uid="{312650E5-8A99-4621-A876-BFBA7C7C501B}"/>
    <cellStyle name="常规_Sheet1" xfId="3" xr:uid="{4C2FC9AC-FAF5-42DF-BBB4-BFA45A6BCF86}"/>
    <cellStyle name="常规_客户档案明细－3" xfId="7" xr:uid="{EA5D4B17-E7F3-40E9-B737-D30B60CBCC71}"/>
    <cellStyle name="千位分隔" xfId="1" builtinId="3"/>
    <cellStyle name="样式 1" xfId="8" xr:uid="{1F5580AE-4BC1-40C1-8F7A-27FDB0670631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114300</xdr:colOff>
      <xdr:row>4</xdr:row>
      <xdr:rowOff>114300</xdr:rowOff>
    </xdr:from>
    <xdr:to>
      <xdr:col>33</xdr:col>
      <xdr:colOff>218440</xdr:colOff>
      <xdr:row>14</xdr:row>
      <xdr:rowOff>151765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3DB4F78-2B19-4B87-B13F-E3D0A2843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04300" y="3038475"/>
          <a:ext cx="2713990" cy="1847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A7175-CB48-42D1-927E-DC5528BC1D1D}">
  <dimension ref="A1:AK3"/>
  <sheetViews>
    <sheetView tabSelected="1" workbookViewId="0">
      <selection activeCell="K20" sqref="K20"/>
    </sheetView>
  </sheetViews>
  <sheetFormatPr defaultRowHeight="14.25" x14ac:dyDescent="0.2"/>
  <cols>
    <col min="4" max="4" width="17.25" customWidth="1"/>
    <col min="5" max="5" width="14.5" customWidth="1"/>
    <col min="6" max="6" width="18" bestFit="1" customWidth="1"/>
    <col min="9" max="11" width="15.125" bestFit="1" customWidth="1"/>
    <col min="12" max="12" width="28.625" customWidth="1"/>
    <col min="13" max="13" width="16.125" customWidth="1"/>
    <col min="14" max="14" width="15.375" customWidth="1"/>
    <col min="15" max="15" width="15.625" customWidth="1"/>
    <col min="16" max="16" width="20" customWidth="1"/>
    <col min="17" max="17" width="12.875" customWidth="1"/>
    <col min="19" max="19" width="17.375" customWidth="1"/>
    <col min="22" max="22" width="23.625" customWidth="1"/>
    <col min="23" max="23" width="18.625" customWidth="1"/>
    <col min="24" max="24" width="19" customWidth="1"/>
    <col min="25" max="26" width="14.375" customWidth="1"/>
    <col min="27" max="27" width="12.5" customWidth="1"/>
    <col min="28" max="28" width="14.625" customWidth="1"/>
    <col min="29" max="29" width="12.5" customWidth="1"/>
    <col min="30" max="30" width="13" bestFit="1" customWidth="1"/>
    <col min="31" max="31" width="14.25" customWidth="1"/>
    <col min="32" max="32" width="12.625" customWidth="1"/>
    <col min="33" max="33" width="21.625" customWidth="1"/>
    <col min="35" max="35" width="13.125" customWidth="1"/>
    <col min="37" max="37" width="15.75" customWidth="1"/>
  </cols>
  <sheetData>
    <row r="1" spans="1:37" s="10" customFormat="1" ht="37.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22" t="s">
        <v>12</v>
      </c>
      <c r="N1" s="22" t="s">
        <v>13</v>
      </c>
      <c r="O1" s="22" t="s">
        <v>14</v>
      </c>
      <c r="P1" s="2" t="s">
        <v>15</v>
      </c>
      <c r="Q1" s="23" t="s">
        <v>16</v>
      </c>
      <c r="R1" s="6" t="s">
        <v>17</v>
      </c>
      <c r="S1" s="23" t="s">
        <v>18</v>
      </c>
      <c r="T1" s="6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1" t="s">
        <v>24</v>
      </c>
      <c r="Z1" s="12" t="s">
        <v>242</v>
      </c>
      <c r="AA1" s="12" t="s">
        <v>33</v>
      </c>
      <c r="AB1" s="12" t="s">
        <v>34</v>
      </c>
      <c r="AC1" s="12" t="s">
        <v>62</v>
      </c>
      <c r="AD1" s="12" t="s">
        <v>35</v>
      </c>
      <c r="AE1" s="12" t="s">
        <v>44</v>
      </c>
      <c r="AF1" s="12" t="s">
        <v>37</v>
      </c>
      <c r="AG1" s="1" t="s">
        <v>25</v>
      </c>
      <c r="AH1" s="1" t="s">
        <v>26</v>
      </c>
      <c r="AI1" s="6" t="s">
        <v>27</v>
      </c>
      <c r="AJ1" s="1" t="s">
        <v>28</v>
      </c>
      <c r="AK1" s="9" t="s">
        <v>47</v>
      </c>
    </row>
    <row r="2" spans="1:37" s="11" customFormat="1" ht="114" x14ac:dyDescent="0.2">
      <c r="A2" s="21"/>
      <c r="B2" s="21" t="s">
        <v>50</v>
      </c>
      <c r="C2" s="21" t="s">
        <v>50</v>
      </c>
      <c r="D2" s="21" t="s">
        <v>50</v>
      </c>
      <c r="E2" s="21" t="s">
        <v>50</v>
      </c>
      <c r="F2" s="21" t="s">
        <v>51</v>
      </c>
      <c r="G2" s="21" t="s">
        <v>51</v>
      </c>
      <c r="H2" s="21" t="s">
        <v>51</v>
      </c>
      <c r="I2" s="21" t="s">
        <v>30</v>
      </c>
      <c r="J2" s="21" t="s">
        <v>29</v>
      </c>
      <c r="K2" s="21" t="s">
        <v>51</v>
      </c>
      <c r="L2" s="21" t="s">
        <v>52</v>
      </c>
      <c r="M2" s="21" t="s">
        <v>41</v>
      </c>
      <c r="N2" s="21" t="s">
        <v>42</v>
      </c>
      <c r="O2" s="21" t="s">
        <v>43</v>
      </c>
      <c r="P2" s="21" t="s">
        <v>53</v>
      </c>
      <c r="Q2" s="21" t="s">
        <v>36</v>
      </c>
      <c r="R2" s="21" t="s">
        <v>31</v>
      </c>
      <c r="S2" s="21" t="s">
        <v>54</v>
      </c>
      <c r="T2" s="21"/>
      <c r="U2" s="21" t="s">
        <v>31</v>
      </c>
      <c r="V2" s="21" t="s">
        <v>32</v>
      </c>
      <c r="W2" s="21" t="s">
        <v>55</v>
      </c>
      <c r="X2" s="21" t="s">
        <v>56</v>
      </c>
      <c r="Y2" s="21" t="s">
        <v>40</v>
      </c>
      <c r="Z2" s="130" t="s">
        <v>233</v>
      </c>
      <c r="AA2" s="21" t="s">
        <v>57</v>
      </c>
      <c r="AB2" s="21" t="s">
        <v>58</v>
      </c>
      <c r="AC2" s="21" t="s">
        <v>241</v>
      </c>
      <c r="AD2" s="21" t="s">
        <v>243</v>
      </c>
      <c r="AE2" s="21" t="s">
        <v>45</v>
      </c>
      <c r="AF2" s="21" t="s">
        <v>59</v>
      </c>
      <c r="AG2" s="21" t="s">
        <v>46</v>
      </c>
      <c r="AH2" s="21" t="s">
        <v>60</v>
      </c>
      <c r="AI2" s="21" t="s">
        <v>61</v>
      </c>
      <c r="AJ2" s="21" t="s">
        <v>48</v>
      </c>
      <c r="AK2" s="21" t="s">
        <v>49</v>
      </c>
    </row>
    <row r="3" spans="1:37" s="142" customFormat="1" ht="32.25" customHeight="1" x14ac:dyDescent="0.2">
      <c r="A3" s="132"/>
      <c r="B3" s="133" t="s">
        <v>232</v>
      </c>
      <c r="C3" s="134" t="s">
        <v>63</v>
      </c>
      <c r="D3" s="134" t="s">
        <v>64</v>
      </c>
      <c r="E3" s="133" t="s">
        <v>70</v>
      </c>
      <c r="F3" s="135" t="s">
        <v>71</v>
      </c>
      <c r="G3" s="136" t="s">
        <v>39</v>
      </c>
      <c r="H3" s="137">
        <v>45474</v>
      </c>
      <c r="I3" s="137">
        <v>45809</v>
      </c>
      <c r="J3" s="137">
        <v>45838</v>
      </c>
      <c r="K3" s="138">
        <v>5400</v>
      </c>
      <c r="L3" s="138">
        <f t="shared" ref="L3" si="0">ROUND(K3/21.75*21.75,2)</f>
        <v>5400</v>
      </c>
      <c r="M3" s="138"/>
      <c r="N3" s="138">
        <f>'附件1销售、客服、培训绩效表'!E3</f>
        <v>12436.319999999992</v>
      </c>
      <c r="O3" s="138"/>
      <c r="P3" s="138">
        <f>'附件2龙图信息考勤汇总表-202506-最终呈现表'!G21+'附件2龙图信息考勤汇总表-202506-最终呈现表'!I21</f>
        <v>0</v>
      </c>
      <c r="Q3" s="139">
        <f t="shared" ref="Q3" si="1">-ROUND(K3/21.75/8*P3,2)</f>
        <v>0</v>
      </c>
      <c r="R3" s="138"/>
      <c r="S3" s="138">
        <f>'附件2龙图信息考勤汇总表-202506-最终呈现表'!S21+'附件2龙图信息考勤汇总表-202506-最终呈现表'!T21</f>
        <v>0</v>
      </c>
      <c r="T3" s="138"/>
      <c r="U3" s="138">
        <v>1000</v>
      </c>
      <c r="V3" s="138">
        <f t="shared" ref="V3" si="2">ROUND(L3+M3+N3+O3+Q3+R3+S3+T3+U3,2)</f>
        <v>18836.32</v>
      </c>
      <c r="W3" s="139">
        <f>-'附件3社保、公积金明细表'!S3</f>
        <v>-1907.9</v>
      </c>
      <c r="X3" s="139">
        <f>-'附件3社保、公积金明细表'!AD3</f>
        <v>-708.6</v>
      </c>
      <c r="Y3" s="140">
        <f t="shared" ref="Y3" si="3">ROUND(V3+W3+X3,2)</f>
        <v>16219.82</v>
      </c>
      <c r="Z3" s="139">
        <v>-5000</v>
      </c>
      <c r="AA3" s="138">
        <f>'2024.12-2025.5工资表'!V3+'2024.12-2025.5工资表'!V8+'2024.12-2025.5工资表'!V13+'2024.12-2025.5工资表'!V18+'2024.12-2025.5工资表'!V23+'2024.12-2025.5工资表'!V28+'6月工资表'!V3</f>
        <v>189095.02000000002</v>
      </c>
      <c r="AB3" s="139">
        <f>'2024.12-2025.5工资表'!W3+'2024.12-2025.5工资表'!X3+'2024.12-2025.5工资表'!W8+'2024.12-2025.5工资表'!X8+'2024.12-2025.5工资表'!W13+'2024.12-2025.5工资表'!X13+'2024.12-2025.5工资表'!W18+'2024.12-2025.5工资表'!X18+'2024.12-2025.5工资表'!W23+'2024.12-2025.5工资表'!X23+'2024.12-2025.5工资表'!W28+'2024.12-2025.5工资表'!X28+W3+X3</f>
        <v>-17902.75</v>
      </c>
      <c r="AC3" s="139">
        <f>-'附件4 专项附加扣除累计表'!D2</f>
        <v>-14000</v>
      </c>
      <c r="AD3" s="139">
        <f>-5000*6+Z3</f>
        <v>-35000</v>
      </c>
      <c r="AE3" s="140">
        <f>ROUND(MAX((AA3+AC3+AD3+AB3)*{0.03,0.1,0.2,0.25,0.3,0.35,0.45}-{0,2520,16920,31920,52920,85920,181920},0),2)</f>
        <v>9699.23</v>
      </c>
      <c r="AF3" s="140">
        <f>'2024.12-2025.5工资表'!AG3+'2024.12-2025.5工资表'!AG8+'2024.12-2025.5工资表'!AG13+'2024.12-2025.5工资表'!AG18+'2024.12-2025.5工资表'!AG23+'2024.12-2025.5工资表'!AG28</f>
        <v>8777.25</v>
      </c>
      <c r="AG3" s="139">
        <f>ROUND(IF((AE3-AF3)&gt;0,AE3-AF3,0),2)</f>
        <v>921.98</v>
      </c>
      <c r="AH3" s="140">
        <f t="shared" ref="AH3" si="4">ROUND(Y3-AG3,2)</f>
        <v>15297.84</v>
      </c>
      <c r="AI3" s="141"/>
      <c r="AJ3" s="140">
        <f t="shared" ref="AJ3" si="5">AH3+AI3</f>
        <v>15297.84</v>
      </c>
      <c r="AK3" s="138">
        <f t="shared" ref="AK3" si="6">ROUND(V3+AI3,2)</f>
        <v>18836.32</v>
      </c>
    </row>
  </sheetData>
  <phoneticPr fontId="2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B7024-3D7C-403B-A8CB-A2877A4B25E0}">
  <dimension ref="A1:AL32"/>
  <sheetViews>
    <sheetView topLeftCell="I16" workbookViewId="0">
      <selection activeCell="AG28" sqref="AG28"/>
    </sheetView>
  </sheetViews>
  <sheetFormatPr defaultRowHeight="14.25" x14ac:dyDescent="0.2"/>
  <sheetData>
    <row r="1" spans="1:37" s="27" customFormat="1" ht="27.75" customHeight="1" x14ac:dyDescent="0.2">
      <c r="A1" s="24" t="s">
        <v>65</v>
      </c>
      <c r="B1" s="25"/>
      <c r="C1" s="25"/>
      <c r="D1" s="25"/>
      <c r="E1" s="25"/>
      <c r="F1" s="25"/>
      <c r="G1" s="25"/>
      <c r="H1" s="26"/>
      <c r="I1" s="26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</row>
    <row r="2" spans="1:37" s="10" customFormat="1" ht="37.5" customHeight="1" x14ac:dyDescent="0.2">
      <c r="A2" s="1" t="s">
        <v>0</v>
      </c>
      <c r="B2" s="1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3" t="s">
        <v>6</v>
      </c>
      <c r="H2" s="4" t="s">
        <v>7</v>
      </c>
      <c r="I2" s="5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7" t="s">
        <v>20</v>
      </c>
      <c r="V2" s="7" t="s">
        <v>21</v>
      </c>
      <c r="W2" s="8" t="s">
        <v>22</v>
      </c>
      <c r="X2" s="8" t="s">
        <v>23</v>
      </c>
      <c r="Y2" s="1" t="s">
        <v>24</v>
      </c>
      <c r="Z2" s="12" t="s">
        <v>66</v>
      </c>
      <c r="AA2" s="12" t="s">
        <v>33</v>
      </c>
      <c r="AB2" s="12" t="s">
        <v>34</v>
      </c>
      <c r="AC2" s="12" t="s">
        <v>67</v>
      </c>
      <c r="AD2" s="12" t="s">
        <v>35</v>
      </c>
      <c r="AE2" s="12" t="s">
        <v>44</v>
      </c>
      <c r="AF2" s="12" t="s">
        <v>37</v>
      </c>
      <c r="AG2" s="1" t="s">
        <v>25</v>
      </c>
      <c r="AH2" s="1" t="s">
        <v>26</v>
      </c>
      <c r="AI2" s="6" t="s">
        <v>27</v>
      </c>
      <c r="AJ2" s="1" t="s">
        <v>28</v>
      </c>
      <c r="AK2" s="9" t="s">
        <v>68</v>
      </c>
    </row>
    <row r="3" spans="1:37" s="32" customFormat="1" ht="14.25" customHeight="1" x14ac:dyDescent="0.2">
      <c r="A3" s="28">
        <v>78</v>
      </c>
      <c r="B3" s="13" t="s">
        <v>232</v>
      </c>
      <c r="C3" s="14" t="s">
        <v>63</v>
      </c>
      <c r="D3" s="15" t="s">
        <v>64</v>
      </c>
      <c r="E3" s="13" t="s">
        <v>70</v>
      </c>
      <c r="F3" s="29" t="s">
        <v>71</v>
      </c>
      <c r="G3" s="16" t="s">
        <v>39</v>
      </c>
      <c r="H3" s="17">
        <v>45474</v>
      </c>
      <c r="I3" s="17">
        <v>45627</v>
      </c>
      <c r="J3" s="17">
        <v>45657</v>
      </c>
      <c r="K3" s="18">
        <v>5400</v>
      </c>
      <c r="L3" s="18">
        <v>5400</v>
      </c>
      <c r="M3" s="18"/>
      <c r="N3" s="18">
        <v>50824.32999999998</v>
      </c>
      <c r="O3" s="18"/>
      <c r="P3" s="18">
        <v>1</v>
      </c>
      <c r="Q3" s="30">
        <v>-31.03</v>
      </c>
      <c r="R3" s="18"/>
      <c r="S3" s="18"/>
      <c r="T3" s="18"/>
      <c r="U3" s="20"/>
      <c r="V3" s="18">
        <v>56193.3</v>
      </c>
      <c r="W3" s="19">
        <v>-1495.15</v>
      </c>
      <c r="X3" s="19">
        <v>-708.6</v>
      </c>
      <c r="Y3" s="31">
        <v>53989.55</v>
      </c>
      <c r="Z3" s="19">
        <v>-5000</v>
      </c>
      <c r="AA3" s="18">
        <v>56193.3</v>
      </c>
      <c r="AB3" s="30">
        <v>-2203.75</v>
      </c>
      <c r="AC3" s="30">
        <v>-1000</v>
      </c>
      <c r="AD3" s="30">
        <v>-5000</v>
      </c>
      <c r="AE3" s="31">
        <v>2278.96</v>
      </c>
      <c r="AF3" s="31">
        <v>0</v>
      </c>
      <c r="AG3" s="30">
        <v>2278.96</v>
      </c>
      <c r="AH3" s="31">
        <v>51710.59</v>
      </c>
      <c r="AI3" s="20"/>
      <c r="AJ3" s="31">
        <v>51710.59</v>
      </c>
      <c r="AK3" s="18">
        <v>56193.3</v>
      </c>
    </row>
    <row r="6" spans="1:37" s="27" customFormat="1" ht="27.75" customHeight="1" x14ac:dyDescent="0.2">
      <c r="A6" s="24" t="s">
        <v>72</v>
      </c>
      <c r="B6" s="25"/>
      <c r="C6" s="25"/>
      <c r="D6" s="25"/>
      <c r="E6" s="25"/>
      <c r="F6" s="25"/>
      <c r="G6" s="25"/>
      <c r="H6" s="26"/>
      <c r="I6" s="26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</row>
    <row r="7" spans="1:37" s="10" customFormat="1" ht="37.5" customHeight="1" x14ac:dyDescent="0.2">
      <c r="A7" s="1" t="s">
        <v>0</v>
      </c>
      <c r="B7" s="1" t="s">
        <v>1</v>
      </c>
      <c r="C7" s="2" t="s">
        <v>2</v>
      </c>
      <c r="D7" s="2" t="s">
        <v>3</v>
      </c>
      <c r="E7" s="1" t="s">
        <v>4</v>
      </c>
      <c r="F7" s="1" t="s">
        <v>5</v>
      </c>
      <c r="G7" s="3" t="s">
        <v>6</v>
      </c>
      <c r="H7" s="4" t="s">
        <v>7</v>
      </c>
      <c r="I7" s="5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6" t="s">
        <v>16</v>
      </c>
      <c r="R7" s="6" t="s">
        <v>17</v>
      </c>
      <c r="S7" s="6" t="s">
        <v>18</v>
      </c>
      <c r="T7" s="6" t="s">
        <v>19</v>
      </c>
      <c r="U7" s="7" t="s">
        <v>20</v>
      </c>
      <c r="V7" s="7" t="s">
        <v>21</v>
      </c>
      <c r="W7" s="8" t="s">
        <v>22</v>
      </c>
      <c r="X7" s="8" t="s">
        <v>23</v>
      </c>
      <c r="Y7" s="1" t="s">
        <v>24</v>
      </c>
      <c r="Z7" s="12" t="s">
        <v>66</v>
      </c>
      <c r="AA7" s="12" t="s">
        <v>33</v>
      </c>
      <c r="AB7" s="12" t="s">
        <v>34</v>
      </c>
      <c r="AC7" s="12" t="s">
        <v>67</v>
      </c>
      <c r="AD7" s="12" t="s">
        <v>35</v>
      </c>
      <c r="AE7" s="12" t="s">
        <v>44</v>
      </c>
      <c r="AF7" s="12" t="s">
        <v>37</v>
      </c>
      <c r="AG7" s="1" t="s">
        <v>25</v>
      </c>
      <c r="AH7" s="1" t="s">
        <v>26</v>
      </c>
      <c r="AI7" s="6" t="s">
        <v>27</v>
      </c>
      <c r="AJ7" s="1" t="s">
        <v>28</v>
      </c>
      <c r="AK7" s="9" t="s">
        <v>68</v>
      </c>
    </row>
    <row r="8" spans="1:37" s="32" customFormat="1" ht="14.25" customHeight="1" x14ac:dyDescent="0.2">
      <c r="A8" s="28">
        <v>71</v>
      </c>
      <c r="B8" s="13" t="s">
        <v>232</v>
      </c>
      <c r="C8" s="14" t="s">
        <v>63</v>
      </c>
      <c r="D8" s="15" t="s">
        <v>64</v>
      </c>
      <c r="E8" s="13" t="s">
        <v>70</v>
      </c>
      <c r="F8" s="29" t="s">
        <v>71</v>
      </c>
      <c r="G8" s="16" t="s">
        <v>39</v>
      </c>
      <c r="H8" s="17">
        <v>45474</v>
      </c>
      <c r="I8" s="17">
        <v>45658</v>
      </c>
      <c r="J8" s="17">
        <v>45688</v>
      </c>
      <c r="K8" s="18">
        <v>5400</v>
      </c>
      <c r="L8" s="18">
        <v>5400</v>
      </c>
      <c r="M8" s="18"/>
      <c r="N8" s="18">
        <v>9178.0799999999981</v>
      </c>
      <c r="O8" s="18"/>
      <c r="P8" s="18"/>
      <c r="Q8" s="30">
        <v>0</v>
      </c>
      <c r="R8" s="18"/>
      <c r="S8" s="18"/>
      <c r="T8" s="18"/>
      <c r="U8" s="20"/>
      <c r="V8" s="18">
        <v>14578.08</v>
      </c>
      <c r="W8" s="19">
        <v>-1907.9</v>
      </c>
      <c r="X8" s="19">
        <v>-708.6</v>
      </c>
      <c r="Y8" s="31">
        <v>11961.58</v>
      </c>
      <c r="Z8" s="30">
        <v>-5000</v>
      </c>
      <c r="AA8" s="18">
        <v>70771.38</v>
      </c>
      <c r="AB8" s="30">
        <v>-4820.25</v>
      </c>
      <c r="AC8" s="30">
        <v>-2000</v>
      </c>
      <c r="AD8" s="30">
        <v>-10000</v>
      </c>
      <c r="AE8" s="31">
        <v>2875.11</v>
      </c>
      <c r="AF8" s="31">
        <v>2278.96</v>
      </c>
      <c r="AG8" s="30">
        <v>596.15</v>
      </c>
      <c r="AH8" s="31">
        <v>11365.43</v>
      </c>
      <c r="AI8" s="34"/>
      <c r="AJ8" s="31">
        <v>11365.43</v>
      </c>
      <c r="AK8" s="18">
        <v>14578.08</v>
      </c>
    </row>
    <row r="11" spans="1:37" s="27" customFormat="1" ht="27.75" customHeight="1" x14ac:dyDescent="0.2">
      <c r="A11" s="24" t="s">
        <v>74</v>
      </c>
      <c r="B11" s="25"/>
      <c r="C11" s="25"/>
      <c r="D11" s="25"/>
      <c r="E11" s="25"/>
      <c r="F11" s="25"/>
      <c r="G11" s="25"/>
      <c r="H11" s="26"/>
      <c r="I11" s="26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</row>
    <row r="12" spans="1:37" s="10" customFormat="1" ht="37.5" customHeight="1" x14ac:dyDescent="0.2">
      <c r="A12" s="1" t="s">
        <v>0</v>
      </c>
      <c r="B12" s="1" t="s">
        <v>1</v>
      </c>
      <c r="C12" s="2" t="s">
        <v>2</v>
      </c>
      <c r="D12" s="2" t="s">
        <v>3</v>
      </c>
      <c r="E12" s="1" t="s">
        <v>4</v>
      </c>
      <c r="F12" s="1" t="s">
        <v>5</v>
      </c>
      <c r="G12" s="3" t="s">
        <v>6</v>
      </c>
      <c r="H12" s="4" t="s">
        <v>7</v>
      </c>
      <c r="I12" s="5" t="s">
        <v>8</v>
      </c>
      <c r="J12" s="1" t="s">
        <v>9</v>
      </c>
      <c r="K12" s="1" t="s">
        <v>10</v>
      </c>
      <c r="L12" s="1" t="s">
        <v>11</v>
      </c>
      <c r="M12" s="1" t="s">
        <v>12</v>
      </c>
      <c r="N12" s="1" t="s">
        <v>13</v>
      </c>
      <c r="O12" s="1" t="s">
        <v>14</v>
      </c>
      <c r="P12" s="1" t="s">
        <v>15</v>
      </c>
      <c r="Q12" s="6" t="s">
        <v>16</v>
      </c>
      <c r="R12" s="6" t="s">
        <v>17</v>
      </c>
      <c r="S12" s="6" t="s">
        <v>18</v>
      </c>
      <c r="T12" s="6" t="s">
        <v>19</v>
      </c>
      <c r="U12" s="7" t="s">
        <v>20</v>
      </c>
      <c r="V12" s="7" t="s">
        <v>21</v>
      </c>
      <c r="W12" s="8" t="s">
        <v>22</v>
      </c>
      <c r="X12" s="8" t="s">
        <v>23</v>
      </c>
      <c r="Y12" s="1" t="s">
        <v>24</v>
      </c>
      <c r="Z12" s="12" t="s">
        <v>66</v>
      </c>
      <c r="AA12" s="12" t="s">
        <v>33</v>
      </c>
      <c r="AB12" s="12" t="s">
        <v>34</v>
      </c>
      <c r="AC12" s="12" t="s">
        <v>67</v>
      </c>
      <c r="AD12" s="12" t="s">
        <v>35</v>
      </c>
      <c r="AE12" s="12" t="s">
        <v>44</v>
      </c>
      <c r="AF12" s="12" t="s">
        <v>37</v>
      </c>
      <c r="AG12" s="1" t="s">
        <v>25</v>
      </c>
      <c r="AH12" s="1" t="s">
        <v>26</v>
      </c>
      <c r="AI12" s="6" t="s">
        <v>27</v>
      </c>
      <c r="AJ12" s="1" t="s">
        <v>28</v>
      </c>
      <c r="AK12" s="9" t="s">
        <v>68</v>
      </c>
    </row>
    <row r="13" spans="1:37" s="32" customFormat="1" ht="14.25" customHeight="1" x14ac:dyDescent="0.2">
      <c r="A13" s="28">
        <v>79</v>
      </c>
      <c r="B13" s="13" t="s">
        <v>232</v>
      </c>
      <c r="C13" s="14" t="s">
        <v>63</v>
      </c>
      <c r="D13" s="15" t="s">
        <v>64</v>
      </c>
      <c r="E13" s="13" t="s">
        <v>70</v>
      </c>
      <c r="F13" s="29" t="s">
        <v>71</v>
      </c>
      <c r="G13" s="16" t="s">
        <v>39</v>
      </c>
      <c r="H13" s="17">
        <v>45474</v>
      </c>
      <c r="I13" s="17">
        <v>45689</v>
      </c>
      <c r="J13" s="17">
        <v>45716</v>
      </c>
      <c r="K13" s="18">
        <v>5400</v>
      </c>
      <c r="L13" s="18">
        <v>5400</v>
      </c>
      <c r="M13" s="18"/>
      <c r="N13" s="18">
        <v>11819.759999999998</v>
      </c>
      <c r="O13" s="18"/>
      <c r="P13" s="18"/>
      <c r="Q13" s="30">
        <v>0</v>
      </c>
      <c r="R13" s="18"/>
      <c r="S13" s="18"/>
      <c r="T13" s="18"/>
      <c r="U13" s="20"/>
      <c r="V13" s="18">
        <v>17219.759999999998</v>
      </c>
      <c r="W13" s="19">
        <v>-1907.9</v>
      </c>
      <c r="X13" s="19">
        <v>-708.6</v>
      </c>
      <c r="Y13" s="31">
        <v>14603.26</v>
      </c>
      <c r="Z13" s="30">
        <v>-5000</v>
      </c>
      <c r="AA13" s="18">
        <v>87991.14</v>
      </c>
      <c r="AB13" s="30">
        <v>-7436.75</v>
      </c>
      <c r="AC13" s="30">
        <v>-3000</v>
      </c>
      <c r="AD13" s="30">
        <v>-15000</v>
      </c>
      <c r="AE13" s="31">
        <v>3735.44</v>
      </c>
      <c r="AF13" s="31">
        <v>2875.11</v>
      </c>
      <c r="AG13" s="30">
        <v>860.33</v>
      </c>
      <c r="AH13" s="31">
        <v>13742.93</v>
      </c>
      <c r="AI13" s="34"/>
      <c r="AJ13" s="31">
        <v>13742.93</v>
      </c>
      <c r="AK13" s="18">
        <v>17219.759999999998</v>
      </c>
    </row>
    <row r="16" spans="1:37" s="27" customFormat="1" ht="27.75" customHeight="1" x14ac:dyDescent="0.2">
      <c r="A16" s="24" t="s">
        <v>75</v>
      </c>
      <c r="B16" s="25"/>
      <c r="C16" s="25"/>
      <c r="D16" s="25"/>
      <c r="E16" s="25"/>
      <c r="F16" s="25"/>
      <c r="G16" s="25"/>
      <c r="H16" s="26"/>
      <c r="I16" s="26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</row>
    <row r="17" spans="1:38" s="10" customFormat="1" ht="37.5" customHeight="1" x14ac:dyDescent="0.2">
      <c r="A17" s="1" t="s">
        <v>0</v>
      </c>
      <c r="B17" s="1" t="s">
        <v>1</v>
      </c>
      <c r="C17" s="2" t="s">
        <v>2</v>
      </c>
      <c r="D17" s="2" t="s">
        <v>3</v>
      </c>
      <c r="E17" s="1" t="s">
        <v>4</v>
      </c>
      <c r="F17" s="1" t="s">
        <v>5</v>
      </c>
      <c r="G17" s="3" t="s">
        <v>6</v>
      </c>
      <c r="H17" s="4" t="s">
        <v>7</v>
      </c>
      <c r="I17" s="5" t="s">
        <v>8</v>
      </c>
      <c r="J17" s="1" t="s">
        <v>9</v>
      </c>
      <c r="K17" s="1" t="s">
        <v>10</v>
      </c>
      <c r="L17" s="1" t="s">
        <v>11</v>
      </c>
      <c r="M17" s="1" t="s">
        <v>12</v>
      </c>
      <c r="N17" s="1" t="s">
        <v>13</v>
      </c>
      <c r="O17" s="1" t="s">
        <v>14</v>
      </c>
      <c r="P17" s="1" t="s">
        <v>15</v>
      </c>
      <c r="Q17" s="6" t="s">
        <v>16</v>
      </c>
      <c r="R17" s="6" t="s">
        <v>17</v>
      </c>
      <c r="S17" s="6" t="s">
        <v>18</v>
      </c>
      <c r="T17" s="6" t="s">
        <v>19</v>
      </c>
      <c r="U17" s="7" t="s">
        <v>20</v>
      </c>
      <c r="V17" s="7" t="s">
        <v>21</v>
      </c>
      <c r="W17" s="8" t="s">
        <v>22</v>
      </c>
      <c r="X17" s="8" t="s">
        <v>23</v>
      </c>
      <c r="Y17" s="1" t="s">
        <v>24</v>
      </c>
      <c r="Z17" s="12" t="s">
        <v>66</v>
      </c>
      <c r="AA17" s="12" t="s">
        <v>33</v>
      </c>
      <c r="AB17" s="12" t="s">
        <v>34</v>
      </c>
      <c r="AC17" s="12" t="s">
        <v>67</v>
      </c>
      <c r="AD17" s="12" t="s">
        <v>35</v>
      </c>
      <c r="AE17" s="12" t="s">
        <v>44</v>
      </c>
      <c r="AF17" s="12" t="s">
        <v>37</v>
      </c>
      <c r="AG17" s="1" t="s">
        <v>25</v>
      </c>
      <c r="AH17" s="1" t="s">
        <v>26</v>
      </c>
      <c r="AI17" s="6" t="s">
        <v>27</v>
      </c>
      <c r="AJ17" s="1" t="s">
        <v>28</v>
      </c>
      <c r="AK17" s="9" t="s">
        <v>68</v>
      </c>
      <c r="AL17" s="33" t="s">
        <v>73</v>
      </c>
    </row>
    <row r="18" spans="1:38" s="32" customFormat="1" ht="14.25" customHeight="1" x14ac:dyDescent="0.2">
      <c r="A18" s="28">
        <v>79</v>
      </c>
      <c r="B18" s="13" t="s">
        <v>232</v>
      </c>
      <c r="C18" s="14" t="s">
        <v>63</v>
      </c>
      <c r="D18" s="15" t="s">
        <v>64</v>
      </c>
      <c r="E18" s="13" t="s">
        <v>70</v>
      </c>
      <c r="F18" s="29" t="s">
        <v>71</v>
      </c>
      <c r="G18" s="16" t="s">
        <v>39</v>
      </c>
      <c r="H18" s="17">
        <v>45474</v>
      </c>
      <c r="I18" s="17">
        <v>45717</v>
      </c>
      <c r="J18" s="17">
        <v>45747</v>
      </c>
      <c r="K18" s="18">
        <v>5400</v>
      </c>
      <c r="L18" s="18">
        <v>5400</v>
      </c>
      <c r="M18" s="18"/>
      <c r="N18" s="18">
        <v>42269.64</v>
      </c>
      <c r="O18" s="18"/>
      <c r="P18" s="18"/>
      <c r="Q18" s="30">
        <v>0</v>
      </c>
      <c r="R18" s="18"/>
      <c r="S18" s="18"/>
      <c r="T18" s="18"/>
      <c r="U18" s="20"/>
      <c r="V18" s="18">
        <v>47669.64</v>
      </c>
      <c r="W18" s="19">
        <v>-1907.9</v>
      </c>
      <c r="X18" s="19">
        <v>-708.6</v>
      </c>
      <c r="Y18" s="31">
        <v>45053.14</v>
      </c>
      <c r="Z18" s="30">
        <v>-5000</v>
      </c>
      <c r="AA18" s="18">
        <v>135660.78</v>
      </c>
      <c r="AB18" s="30">
        <v>-10053.25</v>
      </c>
      <c r="AC18" s="30">
        <v>-8000</v>
      </c>
      <c r="AD18" s="30">
        <v>-20000</v>
      </c>
      <c r="AE18" s="31">
        <v>7240.75</v>
      </c>
      <c r="AF18" s="31">
        <v>3735.44</v>
      </c>
      <c r="AG18" s="30">
        <v>3505.31</v>
      </c>
      <c r="AH18" s="31">
        <v>41547.83</v>
      </c>
      <c r="AI18" s="34"/>
      <c r="AJ18" s="31">
        <v>41547.83</v>
      </c>
      <c r="AK18" s="18">
        <v>47669.64</v>
      </c>
      <c r="AL18" s="31"/>
    </row>
    <row r="21" spans="1:38" s="27" customFormat="1" ht="27.75" customHeight="1" x14ac:dyDescent="0.2">
      <c r="A21" s="24" t="s">
        <v>76</v>
      </c>
      <c r="B21" s="25"/>
      <c r="C21" s="25"/>
      <c r="D21" s="25"/>
      <c r="E21" s="25"/>
      <c r="F21" s="25"/>
      <c r="G21" s="25"/>
      <c r="H21" s="26"/>
      <c r="I21" s="26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</row>
    <row r="22" spans="1:38" s="10" customFormat="1" ht="37.5" customHeight="1" x14ac:dyDescent="0.2">
      <c r="A22" s="1" t="s">
        <v>0</v>
      </c>
      <c r="B22" s="1" t="s">
        <v>1</v>
      </c>
      <c r="C22" s="2" t="s">
        <v>2</v>
      </c>
      <c r="D22" s="2" t="s">
        <v>3</v>
      </c>
      <c r="E22" s="1" t="s">
        <v>4</v>
      </c>
      <c r="F22" s="1" t="s">
        <v>5</v>
      </c>
      <c r="G22" s="3" t="s">
        <v>6</v>
      </c>
      <c r="H22" s="4" t="s">
        <v>7</v>
      </c>
      <c r="I22" s="5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Q22" s="6" t="s">
        <v>16</v>
      </c>
      <c r="R22" s="6" t="s">
        <v>17</v>
      </c>
      <c r="S22" s="6" t="s">
        <v>18</v>
      </c>
      <c r="T22" s="6" t="s">
        <v>19</v>
      </c>
      <c r="U22" s="7" t="s">
        <v>20</v>
      </c>
      <c r="V22" s="7" t="s">
        <v>21</v>
      </c>
      <c r="W22" s="8" t="s">
        <v>22</v>
      </c>
      <c r="X22" s="8" t="s">
        <v>23</v>
      </c>
      <c r="Y22" s="1" t="s">
        <v>24</v>
      </c>
      <c r="Z22" s="12" t="s">
        <v>66</v>
      </c>
      <c r="AA22" s="12" t="s">
        <v>33</v>
      </c>
      <c r="AB22" s="12" t="s">
        <v>34</v>
      </c>
      <c r="AC22" s="12" t="s">
        <v>67</v>
      </c>
      <c r="AD22" s="12" t="s">
        <v>35</v>
      </c>
      <c r="AE22" s="12" t="s">
        <v>44</v>
      </c>
      <c r="AF22" s="12" t="s">
        <v>37</v>
      </c>
      <c r="AG22" s="1" t="s">
        <v>25</v>
      </c>
      <c r="AH22" s="1" t="s">
        <v>26</v>
      </c>
      <c r="AI22" s="6" t="s">
        <v>27</v>
      </c>
      <c r="AJ22" s="1" t="s">
        <v>28</v>
      </c>
      <c r="AK22" s="9" t="s">
        <v>68</v>
      </c>
      <c r="AL22" s="33" t="s">
        <v>73</v>
      </c>
    </row>
    <row r="23" spans="1:38" s="32" customFormat="1" ht="14.25" customHeight="1" x14ac:dyDescent="0.2">
      <c r="A23" s="28">
        <v>78</v>
      </c>
      <c r="B23" s="13" t="s">
        <v>232</v>
      </c>
      <c r="C23" s="14" t="s">
        <v>63</v>
      </c>
      <c r="D23" s="15" t="s">
        <v>64</v>
      </c>
      <c r="E23" s="13" t="s">
        <v>70</v>
      </c>
      <c r="F23" s="29" t="s">
        <v>71</v>
      </c>
      <c r="G23" s="16" t="s">
        <v>39</v>
      </c>
      <c r="H23" s="17">
        <v>45474</v>
      </c>
      <c r="I23" s="17">
        <v>45748</v>
      </c>
      <c r="J23" s="17">
        <v>45777</v>
      </c>
      <c r="K23" s="18">
        <v>5400</v>
      </c>
      <c r="L23" s="18">
        <v>5400</v>
      </c>
      <c r="M23" s="18"/>
      <c r="N23" s="18">
        <v>14081.76</v>
      </c>
      <c r="O23" s="18"/>
      <c r="P23" s="18"/>
      <c r="Q23" s="30">
        <v>0</v>
      </c>
      <c r="R23" s="18"/>
      <c r="S23" s="18"/>
      <c r="T23" s="18"/>
      <c r="U23" s="20"/>
      <c r="V23" s="18">
        <v>19481.759999999998</v>
      </c>
      <c r="W23" s="19">
        <v>-1907.9</v>
      </c>
      <c r="X23" s="19">
        <v>-708.6</v>
      </c>
      <c r="Y23" s="31">
        <v>16865.259999999998</v>
      </c>
      <c r="Z23" s="30">
        <v>-5000</v>
      </c>
      <c r="AA23" s="18">
        <v>155142.54</v>
      </c>
      <c r="AB23" s="30">
        <v>-12669.75</v>
      </c>
      <c r="AC23" s="30">
        <v>-10000</v>
      </c>
      <c r="AD23" s="30">
        <v>-25000</v>
      </c>
      <c r="AE23" s="31">
        <v>8227.2800000000007</v>
      </c>
      <c r="AF23" s="31">
        <v>7240.75</v>
      </c>
      <c r="AG23" s="30">
        <v>986.53</v>
      </c>
      <c r="AH23" s="31">
        <v>15878.73</v>
      </c>
      <c r="AI23" s="34"/>
      <c r="AJ23" s="31">
        <v>15878.73</v>
      </c>
      <c r="AK23" s="18">
        <v>19481.759999999998</v>
      </c>
      <c r="AL23" s="31"/>
    </row>
    <row r="26" spans="1:38" s="27" customFormat="1" ht="27.75" customHeight="1" x14ac:dyDescent="0.2">
      <c r="A26" s="24" t="s">
        <v>77</v>
      </c>
      <c r="B26" s="25"/>
      <c r="C26" s="25"/>
      <c r="D26" s="25"/>
      <c r="E26" s="25"/>
      <c r="F26" s="25"/>
      <c r="G26" s="25"/>
      <c r="H26" s="26"/>
      <c r="I26" s="26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</row>
    <row r="27" spans="1:38" s="10" customFormat="1" ht="37.5" customHeight="1" x14ac:dyDescent="0.2">
      <c r="A27" s="1" t="s">
        <v>0</v>
      </c>
      <c r="B27" s="1" t="s">
        <v>1</v>
      </c>
      <c r="C27" s="2" t="s">
        <v>2</v>
      </c>
      <c r="D27" s="2" t="s">
        <v>3</v>
      </c>
      <c r="E27" s="1" t="s">
        <v>4</v>
      </c>
      <c r="F27" s="1" t="s">
        <v>5</v>
      </c>
      <c r="G27" s="3" t="s">
        <v>6</v>
      </c>
      <c r="H27" s="4" t="s">
        <v>7</v>
      </c>
      <c r="I27" s="5" t="s">
        <v>8</v>
      </c>
      <c r="J27" s="1" t="s">
        <v>9</v>
      </c>
      <c r="K27" s="1" t="s">
        <v>10</v>
      </c>
      <c r="L27" s="1" t="s">
        <v>11</v>
      </c>
      <c r="M27" s="1" t="s">
        <v>12</v>
      </c>
      <c r="N27" s="1" t="s">
        <v>13</v>
      </c>
      <c r="O27" s="1" t="s">
        <v>14</v>
      </c>
      <c r="P27" s="1" t="s">
        <v>15</v>
      </c>
      <c r="Q27" s="6" t="s">
        <v>16</v>
      </c>
      <c r="R27" s="6" t="s">
        <v>17</v>
      </c>
      <c r="S27" s="6" t="s">
        <v>18</v>
      </c>
      <c r="T27" s="6" t="s">
        <v>19</v>
      </c>
      <c r="U27" s="7" t="s">
        <v>20</v>
      </c>
      <c r="V27" s="7" t="s">
        <v>21</v>
      </c>
      <c r="W27" s="8" t="s">
        <v>22</v>
      </c>
      <c r="X27" s="8" t="s">
        <v>23</v>
      </c>
      <c r="Y27" s="1" t="s">
        <v>24</v>
      </c>
      <c r="Z27" s="12" t="s">
        <v>66</v>
      </c>
      <c r="AA27" s="12" t="s">
        <v>33</v>
      </c>
      <c r="AB27" s="12" t="s">
        <v>34</v>
      </c>
      <c r="AC27" s="12" t="s">
        <v>67</v>
      </c>
      <c r="AD27" s="12" t="s">
        <v>35</v>
      </c>
      <c r="AE27" s="12" t="s">
        <v>44</v>
      </c>
      <c r="AF27" s="12" t="s">
        <v>37</v>
      </c>
      <c r="AG27" s="1" t="s">
        <v>25</v>
      </c>
      <c r="AH27" s="1" t="s">
        <v>26</v>
      </c>
      <c r="AI27" s="6" t="s">
        <v>27</v>
      </c>
      <c r="AJ27" s="1" t="s">
        <v>28</v>
      </c>
      <c r="AK27" s="9" t="s">
        <v>68</v>
      </c>
      <c r="AL27" s="33" t="s">
        <v>73</v>
      </c>
    </row>
    <row r="28" spans="1:38" s="32" customFormat="1" ht="14.25" customHeight="1" x14ac:dyDescent="0.2">
      <c r="A28" s="28">
        <v>76</v>
      </c>
      <c r="B28" s="13" t="s">
        <v>232</v>
      </c>
      <c r="C28" s="14" t="s">
        <v>63</v>
      </c>
      <c r="D28" s="15" t="s">
        <v>64</v>
      </c>
      <c r="E28" s="13" t="s">
        <v>70</v>
      </c>
      <c r="F28" s="29" t="s">
        <v>71</v>
      </c>
      <c r="G28" s="16" t="s">
        <v>39</v>
      </c>
      <c r="H28" s="17">
        <v>45474</v>
      </c>
      <c r="I28" s="17">
        <v>45778</v>
      </c>
      <c r="J28" s="17">
        <v>45808</v>
      </c>
      <c r="K28" s="18">
        <v>5400</v>
      </c>
      <c r="L28" s="18">
        <v>5400</v>
      </c>
      <c r="M28" s="18"/>
      <c r="N28" s="18">
        <v>9716.16</v>
      </c>
      <c r="O28" s="18"/>
      <c r="P28" s="18"/>
      <c r="Q28" s="30">
        <v>0</v>
      </c>
      <c r="R28" s="18"/>
      <c r="S28" s="18"/>
      <c r="T28" s="18"/>
      <c r="U28" s="20"/>
      <c r="V28" s="18">
        <v>15116.16</v>
      </c>
      <c r="W28" s="19">
        <v>-1907.9</v>
      </c>
      <c r="X28" s="19">
        <v>-708.6</v>
      </c>
      <c r="Y28" s="31">
        <v>12499.66</v>
      </c>
      <c r="Z28" s="30">
        <v>-5000</v>
      </c>
      <c r="AA28" s="18">
        <v>170258.7</v>
      </c>
      <c r="AB28" s="30">
        <v>-15286.25</v>
      </c>
      <c r="AC28" s="30">
        <v>-12000</v>
      </c>
      <c r="AD28" s="30">
        <v>-30000</v>
      </c>
      <c r="AE28" s="31">
        <v>8777.25</v>
      </c>
      <c r="AF28" s="31">
        <v>8227.2800000000007</v>
      </c>
      <c r="AG28" s="30">
        <v>549.97</v>
      </c>
      <c r="AH28" s="31">
        <v>11949.69</v>
      </c>
      <c r="AI28" s="34"/>
      <c r="AJ28" s="31">
        <v>11949.69</v>
      </c>
      <c r="AK28" s="18">
        <v>15116.16</v>
      </c>
      <c r="AL28" s="31"/>
    </row>
    <row r="32" spans="1:38" x14ac:dyDescent="0.2">
      <c r="W32">
        <v>2203.75</v>
      </c>
      <c r="X32">
        <v>2616.5</v>
      </c>
      <c r="Y32">
        <v>2616.5</v>
      </c>
      <c r="Z32">
        <v>2616.5</v>
      </c>
      <c r="AA32">
        <v>2616.5</v>
      </c>
      <c r="AB32">
        <v>2616.5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51B2-29A4-4D48-8348-2285C5BDCC48}">
  <dimension ref="A1:F7"/>
  <sheetViews>
    <sheetView workbookViewId="0">
      <selection activeCell="F33" sqref="F33"/>
    </sheetView>
  </sheetViews>
  <sheetFormatPr defaultRowHeight="14.25" x14ac:dyDescent="0.2"/>
  <cols>
    <col min="3" max="3" width="27.625" customWidth="1"/>
    <col min="4" max="4" width="13.5" customWidth="1"/>
    <col min="5" max="5" width="12.875" customWidth="1"/>
    <col min="6" max="6" width="11.125" customWidth="1"/>
  </cols>
  <sheetData>
    <row r="1" spans="1:6" ht="18.75" x14ac:dyDescent="0.2">
      <c r="A1" s="35" t="s">
        <v>78</v>
      </c>
      <c r="B1" s="35"/>
      <c r="C1" s="35"/>
      <c r="D1" s="35"/>
      <c r="E1" s="35"/>
      <c r="F1" s="35"/>
    </row>
    <row r="2" spans="1:6" x14ac:dyDescent="0.2">
      <c r="A2" s="36" t="s">
        <v>79</v>
      </c>
      <c r="B2" s="36" t="s">
        <v>80</v>
      </c>
      <c r="C2" s="36" t="s">
        <v>81</v>
      </c>
      <c r="D2" s="36" t="s">
        <v>82</v>
      </c>
      <c r="E2" s="36" t="s">
        <v>83</v>
      </c>
      <c r="F2" s="36" t="s">
        <v>84</v>
      </c>
    </row>
    <row r="3" spans="1:6" x14ac:dyDescent="0.2">
      <c r="A3" s="37">
        <v>1</v>
      </c>
      <c r="B3" s="13" t="s">
        <v>70</v>
      </c>
      <c r="C3" s="29" t="s">
        <v>71</v>
      </c>
      <c r="D3" s="38"/>
      <c r="E3" s="38">
        <v>12436.319999999992</v>
      </c>
      <c r="F3" s="38"/>
    </row>
    <row r="4" spans="1:6" x14ac:dyDescent="0.2">
      <c r="A4" s="37">
        <v>2</v>
      </c>
      <c r="B4" s="37"/>
      <c r="C4" s="37"/>
      <c r="D4" s="38"/>
      <c r="E4" s="38"/>
      <c r="F4" s="38"/>
    </row>
    <row r="5" spans="1:6" x14ac:dyDescent="0.2">
      <c r="A5" s="37">
        <v>3</v>
      </c>
      <c r="B5" s="37"/>
      <c r="C5" s="37"/>
      <c r="D5" s="38"/>
      <c r="E5" s="38"/>
      <c r="F5" s="38"/>
    </row>
    <row r="6" spans="1:6" x14ac:dyDescent="0.2">
      <c r="A6" s="37">
        <v>4</v>
      </c>
      <c r="B6" s="37"/>
      <c r="C6" s="37"/>
      <c r="D6" s="38"/>
      <c r="E6" s="38"/>
      <c r="F6" s="38"/>
    </row>
    <row r="7" spans="1:6" x14ac:dyDescent="0.2">
      <c r="A7" s="37">
        <v>5</v>
      </c>
      <c r="B7" s="37"/>
      <c r="C7" s="37"/>
      <c r="D7" s="38"/>
      <c r="E7" s="38"/>
      <c r="F7" s="38"/>
    </row>
  </sheetData>
  <mergeCells count="1">
    <mergeCell ref="A1:F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9C087-E9EE-40AF-914C-09CE5F1B1E9E}">
  <dimension ref="A1:U81"/>
  <sheetViews>
    <sheetView topLeftCell="C1" workbookViewId="0">
      <selection activeCell="F30" sqref="F30"/>
    </sheetView>
  </sheetViews>
  <sheetFormatPr defaultColWidth="9" defaultRowHeight="14.25" x14ac:dyDescent="0.2"/>
  <cols>
    <col min="1" max="2" width="0" style="39" hidden="1" customWidth="1"/>
    <col min="3" max="3" width="25.75" style="39" customWidth="1"/>
    <col min="4" max="5" width="9" style="39"/>
    <col min="6" max="6" width="9.625" style="39" customWidth="1"/>
    <col min="7" max="7" width="9" style="39"/>
    <col min="8" max="8" width="9.75" style="39" customWidth="1"/>
    <col min="9" max="9" width="9" style="39"/>
    <col min="10" max="10" width="9.25" style="39" customWidth="1"/>
    <col min="11" max="11" width="9" style="39"/>
    <col min="12" max="12" width="9" style="84"/>
    <col min="13" max="14" width="8.875" style="39" customWidth="1"/>
    <col min="15" max="15" width="8.75" style="39" customWidth="1"/>
    <col min="16" max="17" width="8.5" style="39" customWidth="1"/>
    <col min="18" max="18" width="8.25" style="39" customWidth="1"/>
    <col min="19" max="19" width="10.5" style="39" customWidth="1"/>
    <col min="20" max="20" width="11.375" style="39" customWidth="1"/>
    <col min="21" max="21" width="10" style="39" customWidth="1"/>
    <col min="22" max="22" width="27.75" style="39" customWidth="1"/>
    <col min="23" max="16384" width="9" style="39"/>
  </cols>
  <sheetData>
    <row r="1" spans="1:21" s="47" customFormat="1" ht="29.25" customHeight="1" x14ac:dyDescent="0.2">
      <c r="B1" s="48" t="s">
        <v>85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1:21" ht="16.5" customHeight="1" x14ac:dyDescent="0.2">
      <c r="B2" s="49" t="s">
        <v>79</v>
      </c>
      <c r="C2" s="50" t="s">
        <v>86</v>
      </c>
      <c r="D2" s="51" t="s">
        <v>87</v>
      </c>
      <c r="E2" s="49" t="s">
        <v>88</v>
      </c>
      <c r="F2" s="52" t="s">
        <v>89</v>
      </c>
      <c r="G2" s="53" t="s">
        <v>90</v>
      </c>
      <c r="H2" s="54"/>
      <c r="I2" s="54"/>
      <c r="J2" s="54"/>
      <c r="K2" s="54"/>
      <c r="L2" s="55"/>
      <c r="M2" s="56" t="s">
        <v>91</v>
      </c>
      <c r="N2" s="57"/>
      <c r="O2" s="57"/>
      <c r="P2" s="57"/>
      <c r="Q2" s="57"/>
      <c r="R2" s="58"/>
      <c r="S2" s="59" t="s">
        <v>92</v>
      </c>
      <c r="T2" s="59" t="s">
        <v>93</v>
      </c>
      <c r="U2" s="59" t="s">
        <v>94</v>
      </c>
    </row>
    <row r="3" spans="1:21" ht="16.5" customHeight="1" x14ac:dyDescent="0.2">
      <c r="B3" s="60"/>
      <c r="C3" s="61"/>
      <c r="D3" s="62"/>
      <c r="E3" s="60"/>
      <c r="F3" s="63"/>
      <c r="G3" s="42" t="s">
        <v>95</v>
      </c>
      <c r="H3" s="42" t="s">
        <v>96</v>
      </c>
      <c r="I3" s="64" t="s">
        <v>97</v>
      </c>
      <c r="J3" s="65" t="s">
        <v>98</v>
      </c>
      <c r="K3" s="65" t="s">
        <v>99</v>
      </c>
      <c r="L3" s="65" t="s">
        <v>100</v>
      </c>
      <c r="M3" s="66" t="s">
        <v>101</v>
      </c>
      <c r="N3" s="66" t="s">
        <v>102</v>
      </c>
      <c r="O3" s="66" t="s">
        <v>103</v>
      </c>
      <c r="P3" s="66" t="s">
        <v>104</v>
      </c>
      <c r="Q3" s="66" t="s">
        <v>105</v>
      </c>
      <c r="R3" s="67" t="s">
        <v>106</v>
      </c>
      <c r="S3" s="68"/>
      <c r="T3" s="68"/>
      <c r="U3" s="68"/>
    </row>
    <row r="4" spans="1:21" ht="15.95" customHeight="1" x14ac:dyDescent="0.2">
      <c r="A4" s="39">
        <v>12</v>
      </c>
      <c r="B4" s="40">
        <v>1</v>
      </c>
      <c r="C4" s="69" t="s">
        <v>64</v>
      </c>
      <c r="D4" s="41">
        <v>1</v>
      </c>
      <c r="E4" s="40" t="s">
        <v>107</v>
      </c>
      <c r="F4" s="42"/>
      <c r="G4" s="42"/>
      <c r="H4" s="42"/>
      <c r="I4" s="42"/>
      <c r="J4" s="42"/>
      <c r="K4" s="42"/>
      <c r="L4" s="42"/>
      <c r="M4" s="43"/>
      <c r="N4" s="44"/>
      <c r="O4" s="44"/>
      <c r="P4" s="44"/>
      <c r="Q4" s="44"/>
      <c r="R4" s="44"/>
      <c r="S4" s="45"/>
      <c r="T4" s="45"/>
      <c r="U4" s="46"/>
    </row>
    <row r="5" spans="1:21" ht="15.95" customHeight="1" x14ac:dyDescent="0.2">
      <c r="A5" s="39">
        <v>14</v>
      </c>
      <c r="B5" s="40">
        <v>2</v>
      </c>
      <c r="C5" s="70"/>
      <c r="D5" s="41">
        <v>2</v>
      </c>
      <c r="E5" s="40" t="s">
        <v>108</v>
      </c>
      <c r="F5" s="42"/>
      <c r="G5" s="42"/>
      <c r="H5" s="42"/>
      <c r="I5" s="42"/>
      <c r="J5" s="42"/>
      <c r="K5" s="42"/>
      <c r="L5" s="42"/>
      <c r="M5" s="43"/>
      <c r="N5" s="44"/>
      <c r="O5" s="44"/>
      <c r="P5" s="44"/>
      <c r="Q5" s="44"/>
      <c r="R5" s="44"/>
      <c r="S5" s="45"/>
      <c r="T5" s="45"/>
      <c r="U5" s="46"/>
    </row>
    <row r="6" spans="1:21" ht="15.95" customHeight="1" x14ac:dyDescent="0.2">
      <c r="A6" s="39">
        <v>31</v>
      </c>
      <c r="B6" s="40">
        <v>3</v>
      </c>
      <c r="C6" s="70"/>
      <c r="D6" s="41">
        <v>3</v>
      </c>
      <c r="E6" s="40" t="s">
        <v>109</v>
      </c>
      <c r="F6" s="42"/>
      <c r="G6" s="42"/>
      <c r="H6" s="42"/>
      <c r="I6" s="42"/>
      <c r="J6" s="42"/>
      <c r="K6" s="42"/>
      <c r="L6" s="42"/>
      <c r="M6" s="43"/>
      <c r="N6" s="44"/>
      <c r="O6" s="44"/>
      <c r="P6" s="44"/>
      <c r="Q6" s="44"/>
      <c r="R6" s="44"/>
      <c r="S6" s="45"/>
      <c r="T6" s="45"/>
      <c r="U6" s="46"/>
    </row>
    <row r="7" spans="1:21" ht="15.95" customHeight="1" x14ac:dyDescent="0.2">
      <c r="A7" s="39">
        <v>32</v>
      </c>
      <c r="B7" s="40">
        <v>4</v>
      </c>
      <c r="C7" s="70"/>
      <c r="D7" s="41">
        <v>4</v>
      </c>
      <c r="E7" s="40" t="s">
        <v>110</v>
      </c>
      <c r="F7" s="42"/>
      <c r="G7" s="42"/>
      <c r="H7" s="42"/>
      <c r="I7" s="42"/>
      <c r="J7" s="42"/>
      <c r="K7" s="42"/>
      <c r="L7" s="42"/>
      <c r="M7" s="43">
        <v>16</v>
      </c>
      <c r="N7" s="44"/>
      <c r="O7" s="44"/>
      <c r="P7" s="44"/>
      <c r="Q7" s="44"/>
      <c r="R7" s="44"/>
      <c r="S7" s="45"/>
      <c r="T7" s="45"/>
      <c r="U7" s="46"/>
    </row>
    <row r="8" spans="1:21" ht="15.95" customHeight="1" x14ac:dyDescent="0.2">
      <c r="A8" s="39">
        <v>34</v>
      </c>
      <c r="B8" s="40">
        <v>5</v>
      </c>
      <c r="C8" s="70"/>
      <c r="D8" s="41">
        <v>5</v>
      </c>
      <c r="E8" s="40" t="s">
        <v>111</v>
      </c>
      <c r="F8" s="42"/>
      <c r="G8" s="42"/>
      <c r="H8" s="42"/>
      <c r="I8" s="42"/>
      <c r="J8" s="42"/>
      <c r="K8" s="42"/>
      <c r="L8" s="42"/>
      <c r="M8" s="43"/>
      <c r="N8" s="44"/>
      <c r="O8" s="44"/>
      <c r="P8" s="44"/>
      <c r="Q8" s="44"/>
      <c r="R8" s="44"/>
      <c r="S8" s="45"/>
      <c r="T8" s="45"/>
      <c r="U8" s="46"/>
    </row>
    <row r="9" spans="1:21" ht="15.95" customHeight="1" x14ac:dyDescent="0.2">
      <c r="A9" s="39">
        <v>38</v>
      </c>
      <c r="B9" s="40">
        <v>6</v>
      </c>
      <c r="C9" s="70"/>
      <c r="D9" s="41">
        <v>6</v>
      </c>
      <c r="E9" s="40" t="s">
        <v>112</v>
      </c>
      <c r="F9" s="42"/>
      <c r="G9" s="42"/>
      <c r="H9" s="42"/>
      <c r="I9" s="42"/>
      <c r="J9" s="42"/>
      <c r="K9" s="42"/>
      <c r="L9" s="42"/>
      <c r="M9" s="43">
        <v>4</v>
      </c>
      <c r="N9" s="44"/>
      <c r="O9" s="44"/>
      <c r="P9" s="44"/>
      <c r="Q9" s="44"/>
      <c r="R9" s="44"/>
      <c r="S9" s="45"/>
      <c r="T9" s="45"/>
      <c r="U9" s="46"/>
    </row>
    <row r="10" spans="1:21" ht="15.95" customHeight="1" x14ac:dyDescent="0.2">
      <c r="A10" s="39">
        <v>40</v>
      </c>
      <c r="B10" s="40">
        <v>7</v>
      </c>
      <c r="C10" s="70"/>
      <c r="D10" s="41">
        <v>7</v>
      </c>
      <c r="E10" s="40" t="s">
        <v>113</v>
      </c>
      <c r="F10" s="42"/>
      <c r="G10" s="42"/>
      <c r="H10" s="42"/>
      <c r="I10" s="42"/>
      <c r="J10" s="42"/>
      <c r="K10" s="42"/>
      <c r="L10" s="42"/>
      <c r="M10" s="43"/>
      <c r="N10" s="44"/>
      <c r="O10" s="44"/>
      <c r="P10" s="44"/>
      <c r="Q10" s="44"/>
      <c r="R10" s="44"/>
      <c r="S10" s="45">
        <v>20</v>
      </c>
      <c r="T10" s="45"/>
      <c r="U10" s="46"/>
    </row>
    <row r="11" spans="1:21" ht="15.95" customHeight="1" x14ac:dyDescent="0.2">
      <c r="A11" s="39">
        <v>46</v>
      </c>
      <c r="B11" s="40">
        <v>8</v>
      </c>
      <c r="C11" s="70"/>
      <c r="D11" s="41">
        <v>8</v>
      </c>
      <c r="E11" s="40" t="s">
        <v>114</v>
      </c>
      <c r="F11" s="42"/>
      <c r="G11" s="42"/>
      <c r="H11" s="42"/>
      <c r="I11" s="42"/>
      <c r="J11" s="42"/>
      <c r="K11" s="42"/>
      <c r="L11" s="42"/>
      <c r="M11" s="43"/>
      <c r="N11" s="44"/>
      <c r="O11" s="44"/>
      <c r="P11" s="44"/>
      <c r="Q11" s="44"/>
      <c r="R11" s="44"/>
      <c r="S11" s="45"/>
      <c r="T11" s="45"/>
      <c r="U11" s="46"/>
    </row>
    <row r="12" spans="1:21" ht="15.95" customHeight="1" x14ac:dyDescent="0.2">
      <c r="A12" s="39">
        <v>47</v>
      </c>
      <c r="B12" s="40">
        <v>9</v>
      </c>
      <c r="C12" s="70"/>
      <c r="D12" s="41">
        <v>9</v>
      </c>
      <c r="E12" s="40" t="s">
        <v>115</v>
      </c>
      <c r="F12" s="42"/>
      <c r="G12" s="42"/>
      <c r="H12" s="42"/>
      <c r="I12" s="42"/>
      <c r="J12" s="42"/>
      <c r="K12" s="42"/>
      <c r="L12" s="42"/>
      <c r="M12" s="43"/>
      <c r="N12" s="44"/>
      <c r="O12" s="44"/>
      <c r="P12" s="44"/>
      <c r="Q12" s="44"/>
      <c r="R12" s="44"/>
      <c r="S12" s="45"/>
      <c r="T12" s="45"/>
      <c r="U12" s="46"/>
    </row>
    <row r="13" spans="1:21" ht="15.95" customHeight="1" x14ac:dyDescent="0.2">
      <c r="A13" s="39">
        <v>48</v>
      </c>
      <c r="B13" s="40">
        <v>10</v>
      </c>
      <c r="C13" s="70"/>
      <c r="D13" s="41">
        <v>10</v>
      </c>
      <c r="E13" s="40" t="s">
        <v>116</v>
      </c>
      <c r="F13" s="42"/>
      <c r="G13" s="42"/>
      <c r="H13" s="42"/>
      <c r="I13" s="42"/>
      <c r="J13" s="42"/>
      <c r="K13" s="42"/>
      <c r="L13" s="42"/>
      <c r="M13" s="43"/>
      <c r="N13" s="44"/>
      <c r="O13" s="44"/>
      <c r="P13" s="44"/>
      <c r="Q13" s="44"/>
      <c r="R13" s="44"/>
      <c r="S13" s="45"/>
      <c r="T13" s="45"/>
      <c r="U13" s="46"/>
    </row>
    <row r="14" spans="1:21" ht="15.95" customHeight="1" x14ac:dyDescent="0.2">
      <c r="A14" s="47">
        <v>6</v>
      </c>
      <c r="B14" s="40">
        <v>11</v>
      </c>
      <c r="C14" s="70"/>
      <c r="D14" s="41">
        <v>11</v>
      </c>
      <c r="E14" s="40" t="s">
        <v>117</v>
      </c>
      <c r="F14" s="42"/>
      <c r="G14" s="42"/>
      <c r="H14" s="42"/>
      <c r="I14" s="42"/>
      <c r="J14" s="42"/>
      <c r="K14" s="42"/>
      <c r="L14" s="42"/>
      <c r="M14" s="43"/>
      <c r="N14" s="44"/>
      <c r="O14" s="44"/>
      <c r="P14" s="44"/>
      <c r="Q14" s="44"/>
      <c r="R14" s="44"/>
      <c r="S14" s="45"/>
      <c r="T14" s="45"/>
      <c r="U14" s="46"/>
    </row>
    <row r="15" spans="1:21" ht="15.95" customHeight="1" x14ac:dyDescent="0.2">
      <c r="A15" s="47">
        <v>39</v>
      </c>
      <c r="B15" s="40">
        <v>15</v>
      </c>
      <c r="C15" s="70"/>
      <c r="D15" s="41">
        <v>12</v>
      </c>
      <c r="E15" s="40" t="s">
        <v>118</v>
      </c>
      <c r="F15" s="42"/>
      <c r="G15" s="42"/>
      <c r="H15" s="42"/>
      <c r="I15" s="42"/>
      <c r="J15" s="42"/>
      <c r="K15" s="42"/>
      <c r="L15" s="42"/>
      <c r="M15" s="43">
        <v>8</v>
      </c>
      <c r="N15" s="44"/>
      <c r="O15" s="44"/>
      <c r="P15" s="44"/>
      <c r="Q15" s="44"/>
      <c r="R15" s="44"/>
      <c r="S15" s="45"/>
      <c r="T15" s="45"/>
      <c r="U15" s="46"/>
    </row>
    <row r="16" spans="1:21" ht="15.95" customHeight="1" x14ac:dyDescent="0.2">
      <c r="A16" s="47">
        <v>44</v>
      </c>
      <c r="B16" s="40">
        <v>17</v>
      </c>
      <c r="C16" s="70"/>
      <c r="D16" s="41">
        <v>13</v>
      </c>
      <c r="E16" s="40" t="s">
        <v>119</v>
      </c>
      <c r="F16" s="42"/>
      <c r="G16" s="42"/>
      <c r="H16" s="42"/>
      <c r="I16" s="42"/>
      <c r="J16" s="42"/>
      <c r="K16" s="42"/>
      <c r="L16" s="42"/>
      <c r="M16" s="43">
        <v>3</v>
      </c>
      <c r="N16" s="44"/>
      <c r="O16" s="44"/>
      <c r="P16" s="44"/>
      <c r="Q16" s="44"/>
      <c r="R16" s="44"/>
      <c r="S16" s="45">
        <v>40</v>
      </c>
      <c r="T16" s="45"/>
      <c r="U16" s="46"/>
    </row>
    <row r="17" spans="1:21" ht="15.95" customHeight="1" x14ac:dyDescent="0.2">
      <c r="A17" s="47">
        <v>45</v>
      </c>
      <c r="B17" s="40">
        <v>18</v>
      </c>
      <c r="C17" s="70"/>
      <c r="D17" s="41">
        <v>14</v>
      </c>
      <c r="E17" s="40" t="s">
        <v>120</v>
      </c>
      <c r="F17" s="42"/>
      <c r="G17" s="42"/>
      <c r="H17" s="42"/>
      <c r="I17" s="42"/>
      <c r="J17" s="42"/>
      <c r="K17" s="42"/>
      <c r="L17" s="42"/>
      <c r="M17" s="43">
        <v>1</v>
      </c>
      <c r="N17" s="44"/>
      <c r="O17" s="44"/>
      <c r="P17" s="44"/>
      <c r="Q17" s="44"/>
      <c r="R17" s="44"/>
      <c r="S17" s="45"/>
      <c r="T17" s="45"/>
      <c r="U17" s="46"/>
    </row>
    <row r="18" spans="1:21" ht="15.95" customHeight="1" x14ac:dyDescent="0.2">
      <c r="A18" s="47">
        <v>46</v>
      </c>
      <c r="B18" s="40">
        <v>19</v>
      </c>
      <c r="C18" s="70"/>
      <c r="D18" s="41">
        <v>15</v>
      </c>
      <c r="E18" s="40" t="s">
        <v>121</v>
      </c>
      <c r="F18" s="42"/>
      <c r="G18" s="42"/>
      <c r="H18" s="42"/>
      <c r="I18" s="42"/>
      <c r="J18" s="42"/>
      <c r="K18" s="42"/>
      <c r="L18" s="42"/>
      <c r="M18" s="43">
        <v>1</v>
      </c>
      <c r="N18" s="44"/>
      <c r="O18" s="44"/>
      <c r="P18" s="44"/>
      <c r="Q18" s="44"/>
      <c r="R18" s="44"/>
      <c r="S18" s="45"/>
      <c r="T18" s="45"/>
      <c r="U18" s="46"/>
    </row>
    <row r="19" spans="1:21" ht="15.95" customHeight="1" x14ac:dyDescent="0.2">
      <c r="A19" s="47">
        <v>47</v>
      </c>
      <c r="B19" s="40">
        <v>20</v>
      </c>
      <c r="C19" s="70"/>
      <c r="D19" s="41">
        <v>16</v>
      </c>
      <c r="E19" s="40" t="s">
        <v>122</v>
      </c>
      <c r="F19" s="42"/>
      <c r="G19" s="42"/>
      <c r="H19" s="42"/>
      <c r="I19" s="42"/>
      <c r="J19" s="42"/>
      <c r="K19" s="42"/>
      <c r="L19" s="42"/>
      <c r="M19" s="43"/>
      <c r="N19" s="44"/>
      <c r="O19" s="44"/>
      <c r="P19" s="44"/>
      <c r="Q19" s="44"/>
      <c r="R19" s="44"/>
      <c r="S19" s="45"/>
      <c r="T19" s="45"/>
      <c r="U19" s="46"/>
    </row>
    <row r="20" spans="1:21" ht="15.95" customHeight="1" x14ac:dyDescent="0.2">
      <c r="A20" s="47">
        <v>48</v>
      </c>
      <c r="B20" s="40">
        <v>21</v>
      </c>
      <c r="C20" s="70"/>
      <c r="D20" s="41">
        <v>17</v>
      </c>
      <c r="E20" s="40" t="s">
        <v>123</v>
      </c>
      <c r="F20" s="42"/>
      <c r="G20" s="42"/>
      <c r="H20" s="42"/>
      <c r="I20" s="42"/>
      <c r="J20" s="42"/>
      <c r="K20" s="42"/>
      <c r="L20" s="42"/>
      <c r="M20" s="43"/>
      <c r="N20" s="44"/>
      <c r="O20" s="44"/>
      <c r="P20" s="44"/>
      <c r="Q20" s="44"/>
      <c r="R20" s="44"/>
      <c r="S20" s="45"/>
      <c r="T20" s="45"/>
      <c r="U20" s="46"/>
    </row>
    <row r="21" spans="1:21" s="93" customFormat="1" ht="15.95" customHeight="1" x14ac:dyDescent="0.2">
      <c r="A21" s="85">
        <v>49</v>
      </c>
      <c r="B21" s="86">
        <v>22</v>
      </c>
      <c r="C21" s="70"/>
      <c r="D21" s="87">
        <v>18</v>
      </c>
      <c r="E21" s="86" t="s">
        <v>70</v>
      </c>
      <c r="F21" s="88"/>
      <c r="G21" s="88"/>
      <c r="H21" s="88"/>
      <c r="I21" s="88"/>
      <c r="J21" s="88"/>
      <c r="K21" s="88"/>
      <c r="L21" s="88"/>
      <c r="M21" s="89">
        <v>1</v>
      </c>
      <c r="N21" s="90"/>
      <c r="O21" s="90"/>
      <c r="P21" s="90"/>
      <c r="Q21" s="90"/>
      <c r="R21" s="90"/>
      <c r="S21" s="91"/>
      <c r="T21" s="91"/>
      <c r="U21" s="92"/>
    </row>
    <row r="22" spans="1:21" ht="15.95" customHeight="1" x14ac:dyDescent="0.2">
      <c r="A22" s="39">
        <v>18</v>
      </c>
      <c r="B22" s="40">
        <v>23</v>
      </c>
      <c r="C22" s="70"/>
      <c r="D22" s="41">
        <v>19</v>
      </c>
      <c r="E22" s="40" t="s">
        <v>124</v>
      </c>
      <c r="F22" s="42"/>
      <c r="G22" s="42"/>
      <c r="H22" s="42"/>
      <c r="I22" s="42"/>
      <c r="J22" s="42"/>
      <c r="K22" s="42"/>
      <c r="L22" s="42"/>
      <c r="M22" s="43">
        <v>8</v>
      </c>
      <c r="N22" s="44"/>
      <c r="O22" s="44"/>
      <c r="P22" s="44"/>
      <c r="Q22" s="44"/>
      <c r="R22" s="44"/>
      <c r="S22" s="45">
        <v>20</v>
      </c>
      <c r="T22" s="45"/>
      <c r="U22" s="46"/>
    </row>
    <row r="23" spans="1:21" ht="15.95" customHeight="1" x14ac:dyDescent="0.2">
      <c r="A23" s="39">
        <v>20</v>
      </c>
      <c r="B23" s="40">
        <v>25</v>
      </c>
      <c r="C23" s="70"/>
      <c r="D23" s="41">
        <v>20</v>
      </c>
      <c r="E23" s="40" t="s">
        <v>125</v>
      </c>
      <c r="F23" s="42"/>
      <c r="G23" s="42"/>
      <c r="H23" s="42"/>
      <c r="I23" s="42"/>
      <c r="J23" s="42"/>
      <c r="K23" s="42"/>
      <c r="L23" s="42"/>
      <c r="M23" s="43"/>
      <c r="N23" s="44"/>
      <c r="O23" s="44"/>
      <c r="P23" s="44"/>
      <c r="Q23" s="44"/>
      <c r="R23" s="44"/>
      <c r="S23" s="45"/>
      <c r="T23" s="45"/>
      <c r="U23" s="46"/>
    </row>
    <row r="24" spans="1:21" ht="15.95" customHeight="1" x14ac:dyDescent="0.2">
      <c r="A24" s="39">
        <v>21</v>
      </c>
      <c r="B24" s="40">
        <v>26</v>
      </c>
      <c r="C24" s="70"/>
      <c r="D24" s="41">
        <v>21</v>
      </c>
      <c r="E24" s="40" t="s">
        <v>126</v>
      </c>
      <c r="F24" s="42"/>
      <c r="G24" s="42"/>
      <c r="H24" s="42"/>
      <c r="I24" s="42"/>
      <c r="J24" s="42"/>
      <c r="K24" s="42"/>
      <c r="L24" s="42"/>
      <c r="M24" s="43">
        <v>13.5</v>
      </c>
      <c r="N24" s="44"/>
      <c r="O24" s="44"/>
      <c r="P24" s="44"/>
      <c r="Q24" s="44"/>
      <c r="R24" s="44"/>
      <c r="S24" s="45"/>
      <c r="T24" s="45"/>
      <c r="U24" s="46"/>
    </row>
    <row r="25" spans="1:21" ht="15.95" customHeight="1" x14ac:dyDescent="0.2">
      <c r="A25" s="39">
        <v>22</v>
      </c>
      <c r="B25" s="40">
        <v>27</v>
      </c>
      <c r="C25" s="70"/>
      <c r="D25" s="41">
        <v>22</v>
      </c>
      <c r="E25" s="40" t="s">
        <v>127</v>
      </c>
      <c r="F25" s="42"/>
      <c r="G25" s="42"/>
      <c r="H25" s="42"/>
      <c r="I25" s="42"/>
      <c r="J25" s="42"/>
      <c r="K25" s="42"/>
      <c r="L25" s="42"/>
      <c r="M25" s="43">
        <v>16</v>
      </c>
      <c r="N25" s="44"/>
      <c r="O25" s="44"/>
      <c r="P25" s="44"/>
      <c r="Q25" s="44"/>
      <c r="R25" s="44"/>
      <c r="S25" s="45">
        <v>20</v>
      </c>
      <c r="T25" s="45"/>
      <c r="U25" s="46"/>
    </row>
    <row r="26" spans="1:21" ht="15.95" customHeight="1" x14ac:dyDescent="0.2">
      <c r="A26" s="39">
        <v>23</v>
      </c>
      <c r="B26" s="40">
        <v>28</v>
      </c>
      <c r="C26" s="70"/>
      <c r="D26" s="41">
        <v>23</v>
      </c>
      <c r="E26" s="40" t="s">
        <v>128</v>
      </c>
      <c r="F26" s="42"/>
      <c r="G26" s="42"/>
      <c r="H26" s="42"/>
      <c r="I26" s="42"/>
      <c r="J26" s="42"/>
      <c r="K26" s="42"/>
      <c r="L26" s="42"/>
      <c r="M26" s="43"/>
      <c r="N26" s="44"/>
      <c r="O26" s="44"/>
      <c r="P26" s="44"/>
      <c r="Q26" s="44"/>
      <c r="R26" s="44"/>
      <c r="S26" s="45"/>
      <c r="T26" s="45"/>
      <c r="U26" s="46"/>
    </row>
    <row r="27" spans="1:21" ht="15.95" customHeight="1" x14ac:dyDescent="0.2">
      <c r="A27" s="39">
        <v>24</v>
      </c>
      <c r="B27" s="40">
        <v>29</v>
      </c>
      <c r="C27" s="70"/>
      <c r="D27" s="41">
        <v>24</v>
      </c>
      <c r="E27" s="40" t="s">
        <v>129</v>
      </c>
      <c r="F27" s="42"/>
      <c r="G27" s="42"/>
      <c r="H27" s="42"/>
      <c r="I27" s="42"/>
      <c r="J27" s="42"/>
      <c r="K27" s="42"/>
      <c r="L27" s="42"/>
      <c r="M27" s="43">
        <v>8</v>
      </c>
      <c r="N27" s="44"/>
      <c r="O27" s="44"/>
      <c r="P27" s="44"/>
      <c r="Q27" s="44"/>
      <c r="R27" s="44"/>
      <c r="S27" s="45">
        <v>20</v>
      </c>
      <c r="T27" s="45"/>
      <c r="U27" s="46"/>
    </row>
    <row r="28" spans="1:21" ht="15.95" customHeight="1" x14ac:dyDescent="0.2">
      <c r="A28" s="39">
        <v>25</v>
      </c>
      <c r="B28" s="40">
        <v>30</v>
      </c>
      <c r="C28" s="70"/>
      <c r="D28" s="41">
        <v>25</v>
      </c>
      <c r="E28" s="40" t="s">
        <v>130</v>
      </c>
      <c r="F28" s="42"/>
      <c r="G28" s="42"/>
      <c r="H28" s="42"/>
      <c r="I28" s="42"/>
      <c r="J28" s="42"/>
      <c r="K28" s="42"/>
      <c r="L28" s="42"/>
      <c r="M28" s="43">
        <v>11</v>
      </c>
      <c r="N28" s="44"/>
      <c r="O28" s="44"/>
      <c r="P28" s="44"/>
      <c r="Q28" s="44"/>
      <c r="R28" s="44"/>
      <c r="S28" s="45"/>
      <c r="T28" s="45"/>
      <c r="U28" s="46"/>
    </row>
    <row r="29" spans="1:21" ht="15.95" customHeight="1" x14ac:dyDescent="0.2">
      <c r="A29" s="39">
        <v>26</v>
      </c>
      <c r="B29" s="40">
        <v>31</v>
      </c>
      <c r="C29" s="70"/>
      <c r="D29" s="41">
        <v>26</v>
      </c>
      <c r="E29" s="40" t="s">
        <v>131</v>
      </c>
      <c r="F29" s="42"/>
      <c r="G29" s="42"/>
      <c r="H29" s="42"/>
      <c r="I29" s="42"/>
      <c r="J29" s="42">
        <v>240</v>
      </c>
      <c r="K29" s="42"/>
      <c r="L29" s="42"/>
      <c r="M29" s="43"/>
      <c r="N29" s="44"/>
      <c r="O29" s="44"/>
      <c r="P29" s="44"/>
      <c r="Q29" s="44"/>
      <c r="R29" s="44"/>
      <c r="S29" s="45"/>
      <c r="T29" s="45"/>
      <c r="U29" s="46"/>
    </row>
    <row r="30" spans="1:21" ht="15.95" customHeight="1" x14ac:dyDescent="0.2">
      <c r="A30" s="39">
        <v>28</v>
      </c>
      <c r="B30" s="40">
        <v>33</v>
      </c>
      <c r="C30" s="70"/>
      <c r="D30" s="41">
        <v>27</v>
      </c>
      <c r="E30" s="40" t="s">
        <v>132</v>
      </c>
      <c r="F30" s="42"/>
      <c r="G30" s="42"/>
      <c r="H30" s="42"/>
      <c r="I30" s="42"/>
      <c r="J30" s="42"/>
      <c r="K30" s="42"/>
      <c r="L30" s="42"/>
      <c r="M30" s="43"/>
      <c r="N30" s="44"/>
      <c r="O30" s="44"/>
      <c r="P30" s="44"/>
      <c r="Q30" s="44"/>
      <c r="R30" s="44"/>
      <c r="S30" s="45"/>
      <c r="T30" s="45"/>
      <c r="U30" s="46"/>
    </row>
    <row r="31" spans="1:21" ht="15.95" customHeight="1" x14ac:dyDescent="0.2">
      <c r="A31" s="39">
        <v>29</v>
      </c>
      <c r="B31" s="40">
        <v>34</v>
      </c>
      <c r="C31" s="70"/>
      <c r="D31" s="41">
        <v>28</v>
      </c>
      <c r="E31" s="40" t="s">
        <v>133</v>
      </c>
      <c r="F31" s="42"/>
      <c r="G31" s="42"/>
      <c r="H31" s="42"/>
      <c r="I31" s="42"/>
      <c r="J31" s="42"/>
      <c r="K31" s="42"/>
      <c r="L31" s="42"/>
      <c r="M31" s="43"/>
      <c r="N31" s="44"/>
      <c r="O31" s="44"/>
      <c r="P31" s="44"/>
      <c r="Q31" s="44"/>
      <c r="R31" s="44"/>
      <c r="S31" s="45"/>
      <c r="T31" s="45"/>
      <c r="U31" s="46"/>
    </row>
    <row r="32" spans="1:21" ht="15.95" customHeight="1" x14ac:dyDescent="0.2">
      <c r="A32" s="39">
        <v>17</v>
      </c>
      <c r="B32" s="40">
        <v>36</v>
      </c>
      <c r="C32" s="69" t="s">
        <v>134</v>
      </c>
      <c r="D32" s="41">
        <v>1</v>
      </c>
      <c r="E32" s="40" t="s">
        <v>135</v>
      </c>
      <c r="F32" s="42"/>
      <c r="G32" s="42"/>
      <c r="H32" s="42"/>
      <c r="I32" s="42"/>
      <c r="J32" s="42"/>
      <c r="K32" s="42"/>
      <c r="L32" s="42"/>
      <c r="M32" s="43"/>
      <c r="N32" s="44"/>
      <c r="O32" s="44"/>
      <c r="P32" s="44"/>
      <c r="Q32" s="44"/>
      <c r="R32" s="44"/>
      <c r="S32" s="45"/>
      <c r="T32" s="45"/>
      <c r="U32" s="46"/>
    </row>
    <row r="33" spans="1:21" ht="15.95" customHeight="1" x14ac:dyDescent="0.2">
      <c r="A33" s="39">
        <v>56</v>
      </c>
      <c r="B33" s="40">
        <v>37</v>
      </c>
      <c r="C33" s="70"/>
      <c r="D33" s="41">
        <v>2</v>
      </c>
      <c r="E33" s="40" t="s">
        <v>136</v>
      </c>
      <c r="F33" s="42"/>
      <c r="G33" s="42"/>
      <c r="H33" s="42"/>
      <c r="I33" s="42"/>
      <c r="J33" s="42"/>
      <c r="K33" s="42"/>
      <c r="L33" s="42"/>
      <c r="M33" s="43"/>
      <c r="N33" s="44"/>
      <c r="O33" s="44"/>
      <c r="P33" s="44"/>
      <c r="Q33" s="44"/>
      <c r="R33" s="44"/>
      <c r="S33" s="45"/>
      <c r="T33" s="45"/>
      <c r="U33" s="46"/>
    </row>
    <row r="34" spans="1:21" ht="15.95" customHeight="1" x14ac:dyDescent="0.2">
      <c r="A34" s="39">
        <v>59</v>
      </c>
      <c r="B34" s="40">
        <v>38</v>
      </c>
      <c r="C34" s="70"/>
      <c r="D34" s="41">
        <v>3</v>
      </c>
      <c r="E34" s="40" t="s">
        <v>137</v>
      </c>
      <c r="F34" s="42"/>
      <c r="G34" s="42"/>
      <c r="H34" s="42"/>
      <c r="I34" s="42"/>
      <c r="J34" s="42"/>
      <c r="K34" s="42"/>
      <c r="L34" s="42"/>
      <c r="M34" s="43">
        <v>8</v>
      </c>
      <c r="N34" s="44"/>
      <c r="O34" s="40"/>
      <c r="P34" s="40"/>
      <c r="Q34" s="40"/>
      <c r="R34" s="40"/>
      <c r="S34" s="45"/>
      <c r="T34" s="45"/>
      <c r="U34" s="46"/>
    </row>
    <row r="35" spans="1:21" s="47" customFormat="1" ht="15.95" customHeight="1" x14ac:dyDescent="0.2">
      <c r="A35" s="39">
        <v>79</v>
      </c>
      <c r="B35" s="40">
        <v>39</v>
      </c>
      <c r="C35" s="70"/>
      <c r="D35" s="41">
        <v>4</v>
      </c>
      <c r="E35" s="40" t="s">
        <v>138</v>
      </c>
      <c r="F35" s="42"/>
      <c r="G35" s="42"/>
      <c r="H35" s="42"/>
      <c r="I35" s="42"/>
      <c r="J35" s="42"/>
      <c r="K35" s="42"/>
      <c r="L35" s="42"/>
      <c r="M35" s="43"/>
      <c r="N35" s="44"/>
      <c r="O35" s="40"/>
      <c r="P35" s="40"/>
      <c r="Q35" s="40"/>
      <c r="R35" s="45"/>
      <c r="S35" s="45"/>
      <c r="T35" s="45"/>
      <c r="U35" s="46"/>
    </row>
    <row r="36" spans="1:21" s="47" customFormat="1" ht="15.95" customHeight="1" x14ac:dyDescent="0.2">
      <c r="A36" s="39">
        <v>80</v>
      </c>
      <c r="B36" s="40">
        <v>40</v>
      </c>
      <c r="C36" s="70"/>
      <c r="D36" s="41">
        <v>5</v>
      </c>
      <c r="E36" s="40" t="s">
        <v>139</v>
      </c>
      <c r="F36" s="42"/>
      <c r="G36" s="42">
        <v>4</v>
      </c>
      <c r="H36" s="42"/>
      <c r="I36" s="42"/>
      <c r="J36" s="42"/>
      <c r="K36" s="42"/>
      <c r="L36" s="42"/>
      <c r="M36" s="43">
        <v>14</v>
      </c>
      <c r="N36" s="44"/>
      <c r="O36" s="40"/>
      <c r="P36" s="40"/>
      <c r="Q36" s="40"/>
      <c r="R36" s="45"/>
      <c r="S36" s="45"/>
      <c r="T36" s="45"/>
      <c r="U36" s="46"/>
    </row>
    <row r="37" spans="1:21" s="47" customFormat="1" ht="15.95" customHeight="1" x14ac:dyDescent="0.2">
      <c r="A37" s="39">
        <v>81</v>
      </c>
      <c r="B37" s="40">
        <v>41</v>
      </c>
      <c r="C37" s="70"/>
      <c r="D37" s="41">
        <v>6</v>
      </c>
      <c r="E37" s="40" t="s">
        <v>140</v>
      </c>
      <c r="F37" s="42"/>
      <c r="G37" s="42"/>
      <c r="H37" s="42"/>
      <c r="I37" s="42"/>
      <c r="J37" s="42"/>
      <c r="K37" s="42"/>
      <c r="L37" s="42"/>
      <c r="M37" s="43">
        <v>48</v>
      </c>
      <c r="N37" s="44"/>
      <c r="O37" s="40"/>
      <c r="P37" s="40"/>
      <c r="Q37" s="40"/>
      <c r="R37" s="45"/>
      <c r="S37" s="45"/>
      <c r="T37" s="45"/>
      <c r="U37" s="46"/>
    </row>
    <row r="38" spans="1:21" s="47" customFormat="1" ht="15.95" customHeight="1" x14ac:dyDescent="0.2">
      <c r="A38" s="39">
        <v>83</v>
      </c>
      <c r="B38" s="40">
        <v>43</v>
      </c>
      <c r="C38" s="70"/>
      <c r="D38" s="41">
        <v>8</v>
      </c>
      <c r="E38" s="40" t="s">
        <v>141</v>
      </c>
      <c r="F38" s="42"/>
      <c r="G38" s="42"/>
      <c r="H38" s="42"/>
      <c r="I38" s="42"/>
      <c r="J38" s="42"/>
      <c r="K38" s="42"/>
      <c r="L38" s="42"/>
      <c r="M38" s="43">
        <v>15</v>
      </c>
      <c r="N38" s="44"/>
      <c r="O38" s="40"/>
      <c r="P38" s="40"/>
      <c r="Q38" s="40"/>
      <c r="R38" s="45"/>
      <c r="S38" s="45"/>
      <c r="T38" s="45"/>
      <c r="U38" s="46"/>
    </row>
    <row r="39" spans="1:21" s="47" customFormat="1" ht="15.95" customHeight="1" x14ac:dyDescent="0.2">
      <c r="A39" s="39">
        <v>85</v>
      </c>
      <c r="B39" s="40">
        <v>45</v>
      </c>
      <c r="C39" s="71"/>
      <c r="D39" s="41">
        <v>9</v>
      </c>
      <c r="E39" s="40" t="s">
        <v>142</v>
      </c>
      <c r="F39" s="42"/>
      <c r="G39" s="42"/>
      <c r="H39" s="42"/>
      <c r="I39" s="42"/>
      <c r="J39" s="42"/>
      <c r="K39" s="42"/>
      <c r="L39" s="42"/>
      <c r="M39" s="43"/>
      <c r="N39" s="44"/>
      <c r="O39" s="40"/>
      <c r="P39" s="40"/>
      <c r="Q39" s="40"/>
      <c r="R39" s="45"/>
      <c r="S39" s="45">
        <v>40</v>
      </c>
      <c r="T39" s="45">
        <v>20</v>
      </c>
      <c r="U39" s="46"/>
    </row>
    <row r="40" spans="1:21" x14ac:dyDescent="0.2">
      <c r="A40" s="39">
        <v>8</v>
      </c>
      <c r="B40" s="40">
        <v>46</v>
      </c>
      <c r="C40" s="69" t="s">
        <v>143</v>
      </c>
      <c r="D40" s="41">
        <v>1</v>
      </c>
      <c r="E40" s="40" t="s">
        <v>144</v>
      </c>
      <c r="F40" s="42"/>
      <c r="G40" s="42"/>
      <c r="H40" s="42"/>
      <c r="I40" s="42"/>
      <c r="J40" s="42"/>
      <c r="K40" s="42"/>
      <c r="L40" s="42"/>
      <c r="M40" s="43"/>
      <c r="N40" s="44"/>
      <c r="O40" s="44"/>
      <c r="P40" s="44"/>
      <c r="Q40" s="44"/>
      <c r="R40" s="44"/>
      <c r="S40" s="45"/>
      <c r="T40" s="45"/>
      <c r="U40" s="46"/>
    </row>
    <row r="41" spans="1:21" x14ac:dyDescent="0.2">
      <c r="A41" s="39">
        <v>9</v>
      </c>
      <c r="B41" s="40">
        <v>47</v>
      </c>
      <c r="C41" s="71"/>
      <c r="D41" s="41">
        <v>2</v>
      </c>
      <c r="E41" s="40" t="s">
        <v>145</v>
      </c>
      <c r="F41" s="42"/>
      <c r="G41" s="42"/>
      <c r="H41" s="42"/>
      <c r="I41" s="42"/>
      <c r="J41" s="42"/>
      <c r="K41" s="42"/>
      <c r="L41" s="42"/>
      <c r="M41" s="43"/>
      <c r="N41" s="44"/>
      <c r="O41" s="44"/>
      <c r="P41" s="44"/>
      <c r="Q41" s="44"/>
      <c r="R41" s="44"/>
      <c r="S41" s="45"/>
      <c r="T41" s="45"/>
      <c r="U41" s="46"/>
    </row>
    <row r="42" spans="1:21" x14ac:dyDescent="0.2">
      <c r="A42" s="39">
        <v>71</v>
      </c>
      <c r="B42" s="40">
        <v>48</v>
      </c>
      <c r="C42" s="69" t="s">
        <v>146</v>
      </c>
      <c r="D42" s="41">
        <v>1</v>
      </c>
      <c r="E42" s="40" t="s">
        <v>147</v>
      </c>
      <c r="F42" s="42"/>
      <c r="G42" s="42"/>
      <c r="H42" s="42"/>
      <c r="I42" s="42"/>
      <c r="J42" s="42"/>
      <c r="K42" s="42"/>
      <c r="L42" s="42"/>
      <c r="M42" s="43"/>
      <c r="N42" s="44"/>
      <c r="O42" s="44"/>
      <c r="P42" s="44"/>
      <c r="Q42" s="44"/>
      <c r="R42" s="44"/>
      <c r="S42" s="45"/>
      <c r="T42" s="45"/>
      <c r="U42" s="46"/>
    </row>
    <row r="43" spans="1:21" x14ac:dyDescent="0.2">
      <c r="A43" s="39">
        <v>73</v>
      </c>
      <c r="B43" s="40">
        <v>49</v>
      </c>
      <c r="C43" s="70"/>
      <c r="D43" s="41">
        <v>2</v>
      </c>
      <c r="E43" s="40" t="s">
        <v>148</v>
      </c>
      <c r="F43" s="42"/>
      <c r="G43" s="42"/>
      <c r="H43" s="42"/>
      <c r="I43" s="42"/>
      <c r="J43" s="42"/>
      <c r="K43" s="42"/>
      <c r="L43" s="42"/>
      <c r="M43" s="43">
        <v>1</v>
      </c>
      <c r="N43" s="44"/>
      <c r="O43" s="44"/>
      <c r="P43" s="44"/>
      <c r="Q43" s="44"/>
      <c r="R43" s="44"/>
      <c r="S43" s="45"/>
      <c r="T43" s="45"/>
      <c r="U43" s="46"/>
    </row>
    <row r="44" spans="1:21" x14ac:dyDescent="0.2">
      <c r="A44" s="39">
        <v>74</v>
      </c>
      <c r="B44" s="40">
        <v>50</v>
      </c>
      <c r="C44" s="70"/>
      <c r="D44" s="41">
        <v>3</v>
      </c>
      <c r="E44" s="40" t="s">
        <v>149</v>
      </c>
      <c r="F44" s="42"/>
      <c r="G44" s="42"/>
      <c r="H44" s="42"/>
      <c r="I44" s="42"/>
      <c r="J44" s="42"/>
      <c r="K44" s="42"/>
      <c r="L44" s="42"/>
      <c r="M44" s="43">
        <v>1</v>
      </c>
      <c r="N44" s="44"/>
      <c r="O44" s="44"/>
      <c r="P44" s="44"/>
      <c r="Q44" s="44"/>
      <c r="R44" s="44"/>
      <c r="S44" s="45"/>
      <c r="T44" s="45"/>
      <c r="U44" s="46"/>
    </row>
    <row r="45" spans="1:21" ht="15.95" customHeight="1" x14ac:dyDescent="0.2">
      <c r="A45" s="39">
        <v>75</v>
      </c>
      <c r="B45" s="40">
        <v>51</v>
      </c>
      <c r="C45" s="71"/>
      <c r="D45" s="41">
        <v>4</v>
      </c>
      <c r="E45" s="40" t="s">
        <v>150</v>
      </c>
      <c r="F45" s="42"/>
      <c r="G45" s="42"/>
      <c r="H45" s="42"/>
      <c r="I45" s="42"/>
      <c r="J45" s="42"/>
      <c r="K45" s="42"/>
      <c r="L45" s="42"/>
      <c r="M45" s="43"/>
      <c r="N45" s="44"/>
      <c r="O45" s="44"/>
      <c r="P45" s="44"/>
      <c r="Q45" s="44"/>
      <c r="R45" s="44"/>
      <c r="S45" s="45"/>
      <c r="T45" s="45"/>
      <c r="U45" s="46"/>
    </row>
    <row r="46" spans="1:21" ht="15.95" customHeight="1" x14ac:dyDescent="0.2">
      <c r="A46" s="39">
        <v>10</v>
      </c>
      <c r="B46" s="40">
        <v>52</v>
      </c>
      <c r="C46" s="69" t="s">
        <v>151</v>
      </c>
      <c r="D46" s="41">
        <v>1</v>
      </c>
      <c r="E46" s="40" t="s">
        <v>152</v>
      </c>
      <c r="F46" s="42"/>
      <c r="G46" s="42"/>
      <c r="H46" s="42"/>
      <c r="I46" s="42"/>
      <c r="J46" s="42"/>
      <c r="K46" s="42"/>
      <c r="L46" s="42"/>
      <c r="M46" s="43"/>
      <c r="N46" s="44"/>
      <c r="O46" s="44"/>
      <c r="P46" s="44"/>
      <c r="Q46" s="44"/>
      <c r="R46" s="44"/>
      <c r="S46" s="45"/>
      <c r="T46" s="45"/>
      <c r="U46" s="46"/>
    </row>
    <row r="47" spans="1:21" ht="15.95" customHeight="1" x14ac:dyDescent="0.2">
      <c r="A47" s="39">
        <v>13</v>
      </c>
      <c r="B47" s="40">
        <v>54</v>
      </c>
      <c r="C47" s="70"/>
      <c r="D47" s="41">
        <v>2</v>
      </c>
      <c r="E47" s="40" t="s">
        <v>153</v>
      </c>
      <c r="F47" s="42"/>
      <c r="G47" s="42"/>
      <c r="H47" s="42"/>
      <c r="I47" s="42"/>
      <c r="J47" s="42"/>
      <c r="K47" s="42"/>
      <c r="L47" s="42"/>
      <c r="M47" s="43">
        <v>2</v>
      </c>
      <c r="N47" s="44"/>
      <c r="O47" s="44"/>
      <c r="P47" s="44"/>
      <c r="Q47" s="44"/>
      <c r="R47" s="44"/>
      <c r="S47" s="45">
        <v>120</v>
      </c>
      <c r="T47" s="45">
        <v>20</v>
      </c>
      <c r="U47" s="46"/>
    </row>
    <row r="48" spans="1:21" ht="15.95" customHeight="1" x14ac:dyDescent="0.2">
      <c r="B48" s="40">
        <v>56</v>
      </c>
      <c r="C48" s="70"/>
      <c r="D48" s="41">
        <v>3</v>
      </c>
      <c r="E48" s="40" t="s">
        <v>154</v>
      </c>
      <c r="F48" s="42"/>
      <c r="G48" s="42"/>
      <c r="H48" s="42"/>
      <c r="I48" s="42"/>
      <c r="J48" s="42"/>
      <c r="K48" s="42"/>
      <c r="L48" s="42"/>
      <c r="M48" s="43">
        <v>1</v>
      </c>
      <c r="N48" s="44"/>
      <c r="O48" s="44"/>
      <c r="P48" s="44"/>
      <c r="Q48" s="44"/>
      <c r="R48" s="44"/>
      <c r="S48" s="45"/>
      <c r="T48" s="45"/>
      <c r="U48" s="46"/>
    </row>
    <row r="49" spans="1:21" ht="15.95" customHeight="1" x14ac:dyDescent="0.2">
      <c r="A49" s="39">
        <v>33</v>
      </c>
      <c r="B49" s="40">
        <v>57</v>
      </c>
      <c r="C49" s="70"/>
      <c r="D49" s="41">
        <v>4</v>
      </c>
      <c r="E49" s="40" t="s">
        <v>155</v>
      </c>
      <c r="F49" s="42"/>
      <c r="G49" s="42"/>
      <c r="H49" s="42"/>
      <c r="I49" s="42"/>
      <c r="J49" s="42"/>
      <c r="K49" s="42"/>
      <c r="L49" s="42"/>
      <c r="M49" s="43">
        <v>1</v>
      </c>
      <c r="N49" s="44"/>
      <c r="O49" s="44"/>
      <c r="P49" s="44"/>
      <c r="Q49" s="44"/>
      <c r="R49" s="44"/>
      <c r="S49" s="45"/>
      <c r="T49" s="45"/>
      <c r="U49" s="46"/>
    </row>
    <row r="50" spans="1:21" ht="15.95" customHeight="1" x14ac:dyDescent="0.2">
      <c r="A50" s="39">
        <v>36</v>
      </c>
      <c r="B50" s="40">
        <v>59</v>
      </c>
      <c r="C50" s="70"/>
      <c r="D50" s="41">
        <v>5</v>
      </c>
      <c r="E50" s="40" t="s">
        <v>156</v>
      </c>
      <c r="F50" s="42"/>
      <c r="G50" s="42"/>
      <c r="H50" s="42"/>
      <c r="I50" s="42"/>
      <c r="J50" s="42"/>
      <c r="K50" s="42"/>
      <c r="L50" s="42"/>
      <c r="M50" s="43">
        <v>2</v>
      </c>
      <c r="N50" s="44"/>
      <c r="O50" s="44"/>
      <c r="P50" s="44"/>
      <c r="Q50" s="44"/>
      <c r="R50" s="44"/>
      <c r="S50" s="45"/>
      <c r="T50" s="45"/>
      <c r="U50" s="46"/>
    </row>
    <row r="51" spans="1:21" ht="15.95" customHeight="1" x14ac:dyDescent="0.2">
      <c r="A51" s="39">
        <v>37</v>
      </c>
      <c r="B51" s="40">
        <v>60</v>
      </c>
      <c r="C51" s="70"/>
      <c r="D51" s="41">
        <v>6</v>
      </c>
      <c r="E51" s="40" t="s">
        <v>157</v>
      </c>
      <c r="F51" s="42"/>
      <c r="G51" s="42"/>
      <c r="H51" s="42"/>
      <c r="I51" s="42"/>
      <c r="J51" s="42"/>
      <c r="K51" s="42"/>
      <c r="L51" s="42"/>
      <c r="M51" s="43">
        <v>8</v>
      </c>
      <c r="N51" s="44"/>
      <c r="O51" s="44"/>
      <c r="P51" s="44"/>
      <c r="Q51" s="44"/>
      <c r="R51" s="44"/>
      <c r="S51" s="45"/>
      <c r="T51" s="45"/>
      <c r="U51" s="46"/>
    </row>
    <row r="52" spans="1:21" ht="15.95" customHeight="1" x14ac:dyDescent="0.2">
      <c r="A52" s="39">
        <v>39</v>
      </c>
      <c r="B52" s="40">
        <v>61</v>
      </c>
      <c r="C52" s="70"/>
      <c r="D52" s="41">
        <v>7</v>
      </c>
      <c r="E52" s="40" t="s">
        <v>158</v>
      </c>
      <c r="F52" s="42"/>
      <c r="G52" s="42"/>
      <c r="H52" s="42"/>
      <c r="I52" s="42"/>
      <c r="J52" s="42"/>
      <c r="K52" s="42"/>
      <c r="L52" s="42"/>
      <c r="M52" s="43">
        <v>4</v>
      </c>
      <c r="N52" s="44"/>
      <c r="O52" s="44"/>
      <c r="P52" s="44"/>
      <c r="Q52" s="44"/>
      <c r="R52" s="44"/>
      <c r="S52" s="45"/>
      <c r="T52" s="45"/>
      <c r="U52" s="46"/>
    </row>
    <row r="53" spans="1:21" ht="15.95" customHeight="1" x14ac:dyDescent="0.2">
      <c r="A53" s="39">
        <v>41</v>
      </c>
      <c r="B53" s="40">
        <v>62</v>
      </c>
      <c r="C53" s="70"/>
      <c r="D53" s="41">
        <v>8</v>
      </c>
      <c r="E53" s="40" t="s">
        <v>159</v>
      </c>
      <c r="F53" s="42"/>
      <c r="G53" s="42"/>
      <c r="H53" s="42"/>
      <c r="I53" s="42"/>
      <c r="J53" s="42"/>
      <c r="K53" s="42"/>
      <c r="L53" s="42"/>
      <c r="M53" s="43"/>
      <c r="N53" s="44"/>
      <c r="O53" s="44"/>
      <c r="P53" s="44"/>
      <c r="Q53" s="44"/>
      <c r="R53" s="44"/>
      <c r="S53" s="45"/>
      <c r="T53" s="45"/>
      <c r="U53" s="46"/>
    </row>
    <row r="54" spans="1:21" ht="15.95" customHeight="1" x14ac:dyDescent="0.2">
      <c r="A54" s="39">
        <v>42</v>
      </c>
      <c r="B54" s="40">
        <v>63</v>
      </c>
      <c r="C54" s="70"/>
      <c r="D54" s="41">
        <v>9</v>
      </c>
      <c r="E54" s="40" t="s">
        <v>160</v>
      </c>
      <c r="F54" s="42"/>
      <c r="G54" s="42"/>
      <c r="H54" s="42"/>
      <c r="I54" s="42"/>
      <c r="J54" s="42"/>
      <c r="K54" s="42"/>
      <c r="L54" s="42"/>
      <c r="M54" s="43"/>
      <c r="N54" s="44"/>
      <c r="O54" s="44"/>
      <c r="P54" s="44"/>
      <c r="Q54" s="44"/>
      <c r="R54" s="44"/>
      <c r="S54" s="45"/>
      <c r="T54" s="45"/>
      <c r="U54" s="46"/>
    </row>
    <row r="55" spans="1:21" ht="15.95" customHeight="1" x14ac:dyDescent="0.2">
      <c r="A55" s="39">
        <v>44</v>
      </c>
      <c r="B55" s="40">
        <v>64</v>
      </c>
      <c r="C55" s="70"/>
      <c r="D55" s="41">
        <v>10</v>
      </c>
      <c r="E55" s="40" t="s">
        <v>161</v>
      </c>
      <c r="F55" s="42"/>
      <c r="G55" s="42"/>
      <c r="H55" s="42"/>
      <c r="I55" s="42"/>
      <c r="J55" s="42"/>
      <c r="K55" s="42"/>
      <c r="L55" s="42"/>
      <c r="M55" s="43"/>
      <c r="N55" s="44"/>
      <c r="O55" s="44"/>
      <c r="P55" s="44"/>
      <c r="Q55" s="44"/>
      <c r="R55" s="44"/>
      <c r="S55" s="45"/>
      <c r="T55" s="45"/>
      <c r="U55" s="46"/>
    </row>
    <row r="56" spans="1:21" ht="15.95" customHeight="1" x14ac:dyDescent="0.2">
      <c r="A56" s="47"/>
      <c r="B56" s="40">
        <v>68</v>
      </c>
      <c r="C56" s="70"/>
      <c r="D56" s="41">
        <v>11</v>
      </c>
      <c r="E56" s="40" t="s">
        <v>162</v>
      </c>
      <c r="F56" s="42"/>
      <c r="G56" s="42"/>
      <c r="H56" s="42"/>
      <c r="I56" s="42"/>
      <c r="J56" s="42"/>
      <c r="K56" s="42"/>
      <c r="L56" s="42"/>
      <c r="M56" s="43"/>
      <c r="N56" s="44"/>
      <c r="O56" s="44"/>
      <c r="P56" s="44"/>
      <c r="Q56" s="44"/>
      <c r="R56" s="44"/>
      <c r="S56" s="45">
        <v>40</v>
      </c>
      <c r="T56" s="45"/>
      <c r="U56" s="46"/>
    </row>
    <row r="57" spans="1:21" ht="15.95" customHeight="1" x14ac:dyDescent="0.2">
      <c r="A57" s="39">
        <v>57</v>
      </c>
      <c r="B57" s="40">
        <v>69</v>
      </c>
      <c r="C57" s="70"/>
      <c r="D57" s="41">
        <v>12</v>
      </c>
      <c r="E57" s="40" t="s">
        <v>163</v>
      </c>
      <c r="F57" s="42"/>
      <c r="G57" s="42"/>
      <c r="H57" s="42"/>
      <c r="I57" s="42"/>
      <c r="J57" s="42"/>
      <c r="K57" s="42"/>
      <c r="L57" s="42"/>
      <c r="M57" s="43"/>
      <c r="N57" s="44"/>
      <c r="O57" s="44"/>
      <c r="P57" s="44"/>
      <c r="Q57" s="44"/>
      <c r="R57" s="44"/>
      <c r="S57" s="45"/>
      <c r="T57" s="45"/>
      <c r="U57" s="46"/>
    </row>
    <row r="58" spans="1:21" ht="15.95" customHeight="1" x14ac:dyDescent="0.2">
      <c r="A58" s="39">
        <v>60</v>
      </c>
      <c r="B58" s="40">
        <v>70</v>
      </c>
      <c r="C58" s="70"/>
      <c r="D58" s="41">
        <v>13</v>
      </c>
      <c r="E58" s="40" t="s">
        <v>164</v>
      </c>
      <c r="F58" s="42"/>
      <c r="G58" s="42"/>
      <c r="H58" s="42"/>
      <c r="I58" s="42"/>
      <c r="J58" s="42"/>
      <c r="K58" s="42"/>
      <c r="L58" s="42"/>
      <c r="M58" s="43"/>
      <c r="N58" s="44"/>
      <c r="O58" s="44"/>
      <c r="P58" s="44"/>
      <c r="Q58" s="44"/>
      <c r="R58" s="44"/>
      <c r="S58" s="45"/>
      <c r="T58" s="45"/>
      <c r="U58" s="46"/>
    </row>
    <row r="59" spans="1:21" ht="16.5" customHeight="1" x14ac:dyDescent="0.2">
      <c r="A59" s="39">
        <v>64</v>
      </c>
      <c r="B59" s="40">
        <v>73</v>
      </c>
      <c r="C59" s="70"/>
      <c r="D59" s="41">
        <v>14</v>
      </c>
      <c r="E59" s="40" t="s">
        <v>165</v>
      </c>
      <c r="F59" s="42"/>
      <c r="G59" s="42">
        <v>16</v>
      </c>
      <c r="H59" s="42"/>
      <c r="I59" s="42"/>
      <c r="J59" s="42"/>
      <c r="K59" s="42"/>
      <c r="L59" s="42"/>
      <c r="M59" s="43"/>
      <c r="N59" s="44"/>
      <c r="O59" s="44"/>
      <c r="P59" s="44"/>
      <c r="Q59" s="44"/>
      <c r="R59" s="44"/>
      <c r="S59" s="45"/>
      <c r="T59" s="45"/>
      <c r="U59" s="46"/>
    </row>
    <row r="60" spans="1:21" ht="15.95" customHeight="1" x14ac:dyDescent="0.2">
      <c r="A60" s="39">
        <v>65</v>
      </c>
      <c r="B60" s="40">
        <v>74</v>
      </c>
      <c r="C60" s="70"/>
      <c r="D60" s="41">
        <v>15</v>
      </c>
      <c r="E60" s="40" t="s">
        <v>166</v>
      </c>
      <c r="F60" s="42"/>
      <c r="G60" s="42"/>
      <c r="H60" s="42"/>
      <c r="I60" s="42"/>
      <c r="J60" s="42"/>
      <c r="K60" s="42"/>
      <c r="L60" s="42"/>
      <c r="M60" s="43"/>
      <c r="N60" s="44"/>
      <c r="O60" s="44"/>
      <c r="P60" s="44"/>
      <c r="Q60" s="44"/>
      <c r="R60" s="44"/>
      <c r="S60" s="45"/>
      <c r="T60" s="45"/>
      <c r="U60" s="46"/>
    </row>
    <row r="61" spans="1:21" ht="15.95" customHeight="1" x14ac:dyDescent="0.2">
      <c r="A61" s="39">
        <v>66</v>
      </c>
      <c r="B61" s="40">
        <v>75</v>
      </c>
      <c r="C61" s="70"/>
      <c r="D61" s="41">
        <v>16</v>
      </c>
      <c r="E61" s="40" t="s">
        <v>167</v>
      </c>
      <c r="F61" s="42"/>
      <c r="G61" s="42"/>
      <c r="H61" s="42"/>
      <c r="I61" s="42"/>
      <c r="J61" s="42"/>
      <c r="K61" s="42"/>
      <c r="L61" s="42"/>
      <c r="M61" s="43">
        <v>16</v>
      </c>
      <c r="N61" s="44"/>
      <c r="O61" s="44"/>
      <c r="P61" s="44"/>
      <c r="Q61" s="44"/>
      <c r="R61" s="44"/>
      <c r="S61" s="45"/>
      <c r="T61" s="45"/>
      <c r="U61" s="46"/>
    </row>
    <row r="62" spans="1:21" ht="15.95" customHeight="1" x14ac:dyDescent="0.2">
      <c r="A62" s="39">
        <v>72</v>
      </c>
      <c r="B62" s="40">
        <v>78</v>
      </c>
      <c r="C62" s="70"/>
      <c r="D62" s="41">
        <v>17</v>
      </c>
      <c r="E62" s="40" t="s">
        <v>168</v>
      </c>
      <c r="F62" s="42"/>
      <c r="G62" s="42">
        <v>8</v>
      </c>
      <c r="H62" s="42"/>
      <c r="I62" s="42"/>
      <c r="J62" s="42"/>
      <c r="K62" s="42"/>
      <c r="L62" s="42"/>
      <c r="M62" s="43">
        <v>1.5</v>
      </c>
      <c r="N62" s="44"/>
      <c r="O62" s="44"/>
      <c r="P62" s="44"/>
      <c r="Q62" s="44"/>
      <c r="R62" s="44"/>
      <c r="S62" s="45"/>
      <c r="T62" s="45"/>
      <c r="U62" s="46"/>
    </row>
    <row r="63" spans="1:21" ht="17.25" customHeight="1" x14ac:dyDescent="0.2">
      <c r="A63" s="39">
        <v>76</v>
      </c>
      <c r="B63" s="40">
        <v>79</v>
      </c>
      <c r="C63" s="70"/>
      <c r="D63" s="41">
        <v>18</v>
      </c>
      <c r="E63" s="40" t="s">
        <v>169</v>
      </c>
      <c r="F63" s="42"/>
      <c r="G63" s="42"/>
      <c r="H63" s="42"/>
      <c r="I63" s="42"/>
      <c r="J63" s="42"/>
      <c r="K63" s="42"/>
      <c r="L63" s="42"/>
      <c r="M63" s="43">
        <v>8</v>
      </c>
      <c r="N63" s="44">
        <v>14</v>
      </c>
      <c r="O63" s="44"/>
      <c r="P63" s="44"/>
      <c r="Q63" s="44"/>
      <c r="R63" s="44"/>
      <c r="S63" s="45"/>
      <c r="T63" s="45"/>
      <c r="U63" s="46"/>
    </row>
    <row r="64" spans="1:21" s="47" customFormat="1" ht="15.95" customHeight="1" x14ac:dyDescent="0.2">
      <c r="A64" s="39"/>
      <c r="B64" s="40">
        <v>81</v>
      </c>
      <c r="C64" s="69" t="s">
        <v>38</v>
      </c>
      <c r="D64" s="41">
        <v>1</v>
      </c>
      <c r="E64" s="40" t="s">
        <v>170</v>
      </c>
      <c r="F64" s="42"/>
      <c r="G64" s="42">
        <v>1.5</v>
      </c>
      <c r="H64" s="42"/>
      <c r="I64" s="42"/>
      <c r="J64" s="42"/>
      <c r="K64" s="42"/>
      <c r="L64" s="42"/>
      <c r="M64" s="43">
        <v>14.5</v>
      </c>
      <c r="N64" s="44"/>
      <c r="O64" s="40"/>
      <c r="P64" s="40"/>
      <c r="Q64" s="40"/>
      <c r="R64" s="45"/>
      <c r="S64" s="45"/>
      <c r="T64" s="45"/>
      <c r="U64" s="46"/>
    </row>
    <row r="65" spans="1:21" s="47" customFormat="1" ht="15.95" customHeight="1" x14ac:dyDescent="0.2">
      <c r="A65" s="39"/>
      <c r="B65" s="40">
        <v>82</v>
      </c>
      <c r="C65" s="70"/>
      <c r="D65" s="41">
        <v>2</v>
      </c>
      <c r="E65" s="40" t="s">
        <v>171</v>
      </c>
      <c r="F65" s="42"/>
      <c r="G65" s="42"/>
      <c r="H65" s="42"/>
      <c r="I65" s="42"/>
      <c r="J65" s="42"/>
      <c r="K65" s="42"/>
      <c r="L65" s="42"/>
      <c r="M65" s="43"/>
      <c r="N65" s="44"/>
      <c r="O65" s="40"/>
      <c r="P65" s="40"/>
      <c r="Q65" s="40"/>
      <c r="R65" s="45"/>
      <c r="S65" s="45">
        <v>40</v>
      </c>
      <c r="T65" s="45">
        <v>20</v>
      </c>
      <c r="U65" s="46"/>
    </row>
    <row r="66" spans="1:21" s="47" customFormat="1" ht="15.95" customHeight="1" x14ac:dyDescent="0.2">
      <c r="A66" s="39">
        <v>3</v>
      </c>
      <c r="B66" s="40">
        <v>83</v>
      </c>
      <c r="C66" s="70"/>
      <c r="D66" s="41">
        <v>3</v>
      </c>
      <c r="E66" s="40" t="s">
        <v>172</v>
      </c>
      <c r="F66" s="42"/>
      <c r="G66" s="42"/>
      <c r="H66" s="42"/>
      <c r="I66" s="42"/>
      <c r="J66" s="42"/>
      <c r="K66" s="42"/>
      <c r="L66" s="42"/>
      <c r="M66" s="43"/>
      <c r="N66" s="44"/>
      <c r="O66" s="40"/>
      <c r="P66" s="40"/>
      <c r="Q66" s="40"/>
      <c r="R66" s="45"/>
      <c r="S66" s="45"/>
      <c r="T66" s="45"/>
      <c r="U66" s="46"/>
    </row>
    <row r="67" spans="1:21" x14ac:dyDescent="0.2">
      <c r="A67" s="39">
        <v>4</v>
      </c>
      <c r="B67" s="40">
        <v>84</v>
      </c>
      <c r="C67" s="70"/>
      <c r="D67" s="41">
        <v>4</v>
      </c>
      <c r="E67" s="40" t="s">
        <v>173</v>
      </c>
      <c r="F67" s="42"/>
      <c r="G67" s="42"/>
      <c r="H67" s="42"/>
      <c r="I67" s="42"/>
      <c r="J67" s="42"/>
      <c r="K67" s="42"/>
      <c r="L67" s="42"/>
      <c r="M67" s="43"/>
      <c r="N67" s="44"/>
      <c r="O67" s="44"/>
      <c r="P67" s="44"/>
      <c r="Q67" s="44"/>
      <c r="R67" s="44"/>
      <c r="S67" s="45"/>
      <c r="T67" s="45"/>
      <c r="U67" s="46"/>
    </row>
    <row r="68" spans="1:21" x14ac:dyDescent="0.2">
      <c r="B68" s="40">
        <v>85</v>
      </c>
      <c r="C68" s="70"/>
      <c r="D68" s="41">
        <v>5</v>
      </c>
      <c r="E68" s="40" t="s">
        <v>174</v>
      </c>
      <c r="F68" s="42"/>
      <c r="G68" s="42"/>
      <c r="H68" s="42"/>
      <c r="I68" s="42"/>
      <c r="J68" s="42"/>
      <c r="K68" s="42"/>
      <c r="L68" s="42"/>
      <c r="M68" s="43"/>
      <c r="N68" s="44"/>
      <c r="O68" s="44"/>
      <c r="P68" s="44"/>
      <c r="Q68" s="44"/>
      <c r="R68" s="44"/>
      <c r="S68" s="45"/>
      <c r="T68" s="45"/>
      <c r="U68" s="46"/>
    </row>
    <row r="69" spans="1:21" x14ac:dyDescent="0.2">
      <c r="B69" s="40">
        <v>86</v>
      </c>
      <c r="C69" s="71"/>
      <c r="D69" s="41">
        <v>6</v>
      </c>
      <c r="E69" s="40" t="s">
        <v>175</v>
      </c>
      <c r="F69" s="42"/>
      <c r="G69" s="42"/>
      <c r="H69" s="42"/>
      <c r="I69" s="42"/>
      <c r="J69" s="42"/>
      <c r="K69" s="42"/>
      <c r="L69" s="42"/>
      <c r="M69" s="43">
        <v>4.5</v>
      </c>
      <c r="N69" s="44"/>
      <c r="O69" s="44"/>
      <c r="P69" s="44"/>
      <c r="Q69" s="44"/>
      <c r="R69" s="44"/>
      <c r="S69" s="45"/>
      <c r="T69" s="45"/>
      <c r="U69" s="46"/>
    </row>
    <row r="70" spans="1:21" s="47" customFormat="1" ht="15.95" customHeight="1" x14ac:dyDescent="0.2">
      <c r="A70" s="39">
        <v>2</v>
      </c>
      <c r="B70" s="40">
        <v>87</v>
      </c>
      <c r="C70" s="72" t="s">
        <v>176</v>
      </c>
      <c r="D70" s="41">
        <v>1</v>
      </c>
      <c r="E70" s="40" t="s">
        <v>177</v>
      </c>
      <c r="F70" s="42"/>
      <c r="G70" s="42"/>
      <c r="H70" s="42"/>
      <c r="I70" s="42"/>
      <c r="J70" s="42"/>
      <c r="K70" s="42"/>
      <c r="L70" s="42"/>
      <c r="M70" s="43">
        <v>1.5</v>
      </c>
      <c r="N70" s="44"/>
      <c r="O70" s="44"/>
      <c r="P70" s="44"/>
      <c r="Q70" s="44"/>
      <c r="R70" s="73"/>
      <c r="S70" s="45"/>
      <c r="T70" s="45"/>
      <c r="U70" s="46"/>
    </row>
    <row r="71" spans="1:21" s="47" customFormat="1" ht="15.95" customHeight="1" x14ac:dyDescent="0.2">
      <c r="A71" s="39">
        <v>5</v>
      </c>
      <c r="B71" s="40">
        <v>88</v>
      </c>
      <c r="C71" s="69" t="s">
        <v>178</v>
      </c>
      <c r="D71" s="41" t="s">
        <v>179</v>
      </c>
      <c r="E71" s="40" t="s">
        <v>180</v>
      </c>
      <c r="F71" s="42"/>
      <c r="G71" s="42"/>
      <c r="H71" s="42"/>
      <c r="I71" s="42"/>
      <c r="J71" s="42"/>
      <c r="K71" s="42"/>
      <c r="L71" s="42"/>
      <c r="M71" s="43">
        <v>43.5</v>
      </c>
      <c r="N71" s="44"/>
      <c r="O71" s="40"/>
      <c r="P71" s="40"/>
      <c r="Q71" s="40"/>
      <c r="R71" s="45"/>
      <c r="S71" s="45"/>
      <c r="T71" s="45"/>
      <c r="U71" s="46"/>
    </row>
    <row r="72" spans="1:21" s="47" customFormat="1" ht="15.95" customHeight="1" x14ac:dyDescent="0.2">
      <c r="A72" s="39">
        <v>6</v>
      </c>
      <c r="B72" s="40">
        <v>89</v>
      </c>
      <c r="C72" s="70"/>
      <c r="D72" s="41">
        <v>2</v>
      </c>
      <c r="E72" s="40" t="s">
        <v>181</v>
      </c>
      <c r="F72" s="42"/>
      <c r="G72" s="42"/>
      <c r="H72" s="42"/>
      <c r="I72" s="42"/>
      <c r="J72" s="42"/>
      <c r="K72" s="42"/>
      <c r="L72" s="42"/>
      <c r="M72" s="43">
        <v>28.5</v>
      </c>
      <c r="N72" s="44"/>
      <c r="O72" s="40"/>
      <c r="P72" s="40"/>
      <c r="Q72" s="40"/>
      <c r="R72" s="45"/>
      <c r="S72" s="45"/>
      <c r="T72" s="45"/>
      <c r="U72" s="46"/>
    </row>
    <row r="73" spans="1:21" s="47" customFormat="1" ht="15.95" customHeight="1" x14ac:dyDescent="0.2">
      <c r="A73" s="39">
        <v>7</v>
      </c>
      <c r="B73" s="40">
        <v>90</v>
      </c>
      <c r="C73" s="71"/>
      <c r="D73" s="41">
        <v>3</v>
      </c>
      <c r="E73" s="40" t="s">
        <v>182</v>
      </c>
      <c r="F73" s="42"/>
      <c r="G73" s="42"/>
      <c r="H73" s="42"/>
      <c r="I73" s="42"/>
      <c r="J73" s="42"/>
      <c r="K73" s="42"/>
      <c r="L73" s="42"/>
      <c r="M73" s="43">
        <v>4</v>
      </c>
      <c r="N73" s="44"/>
      <c r="O73" s="40"/>
      <c r="P73" s="40"/>
      <c r="Q73" s="40"/>
      <c r="R73" s="45">
        <v>16</v>
      </c>
      <c r="S73" s="45"/>
      <c r="T73" s="45"/>
      <c r="U73" s="46"/>
    </row>
    <row r="74" spans="1:21" x14ac:dyDescent="0.2">
      <c r="A74" s="39">
        <v>78</v>
      </c>
      <c r="B74" s="40">
        <v>91</v>
      </c>
      <c r="C74" s="72" t="s">
        <v>183</v>
      </c>
      <c r="D74" s="41" t="s">
        <v>179</v>
      </c>
      <c r="E74" s="40" t="s">
        <v>184</v>
      </c>
      <c r="F74" s="42"/>
      <c r="G74" s="42"/>
      <c r="H74" s="42"/>
      <c r="I74" s="42"/>
      <c r="J74" s="42"/>
      <c r="K74" s="42"/>
      <c r="L74" s="42"/>
      <c r="M74" s="43">
        <v>23</v>
      </c>
      <c r="N74" s="44"/>
      <c r="O74" s="44"/>
      <c r="P74" s="44"/>
      <c r="Q74" s="44"/>
      <c r="R74" s="44"/>
      <c r="S74" s="45"/>
      <c r="T74" s="45"/>
      <c r="U74" s="46"/>
    </row>
    <row r="75" spans="1:21" x14ac:dyDescent="0.2">
      <c r="A75" s="39">
        <v>54</v>
      </c>
      <c r="B75" s="40">
        <v>92</v>
      </c>
      <c r="C75" s="69" t="s">
        <v>185</v>
      </c>
      <c r="D75" s="41" t="s">
        <v>179</v>
      </c>
      <c r="E75" s="40" t="s">
        <v>186</v>
      </c>
      <c r="F75" s="42"/>
      <c r="G75" s="42"/>
      <c r="H75" s="42"/>
      <c r="I75" s="42"/>
      <c r="J75" s="42"/>
      <c r="K75" s="42"/>
      <c r="L75" s="42"/>
      <c r="M75" s="43">
        <v>4</v>
      </c>
      <c r="N75" s="44"/>
      <c r="O75" s="44"/>
      <c r="P75" s="44"/>
      <c r="Q75" s="44"/>
      <c r="R75" s="44"/>
      <c r="S75" s="45"/>
      <c r="T75" s="45"/>
      <c r="U75" s="46"/>
    </row>
    <row r="76" spans="1:21" x14ac:dyDescent="0.2">
      <c r="A76" s="39">
        <v>55</v>
      </c>
      <c r="B76" s="40">
        <v>93</v>
      </c>
      <c r="C76" s="71"/>
      <c r="D76" s="41">
        <v>2</v>
      </c>
      <c r="E76" s="40" t="s">
        <v>187</v>
      </c>
      <c r="F76" s="42"/>
      <c r="G76" s="42"/>
      <c r="H76" s="42"/>
      <c r="I76" s="42"/>
      <c r="J76" s="42"/>
      <c r="K76" s="42"/>
      <c r="L76" s="42"/>
      <c r="M76" s="43"/>
      <c r="N76" s="44"/>
      <c r="O76" s="44"/>
      <c r="P76" s="44"/>
      <c r="Q76" s="44"/>
      <c r="R76" s="44"/>
      <c r="S76" s="45"/>
      <c r="T76" s="45"/>
      <c r="U76" s="46"/>
    </row>
    <row r="77" spans="1:21" x14ac:dyDescent="0.2">
      <c r="A77" s="39">
        <v>51</v>
      </c>
      <c r="B77" s="40">
        <v>94</v>
      </c>
      <c r="C77" s="69" t="s">
        <v>188</v>
      </c>
      <c r="D77" s="41">
        <v>1</v>
      </c>
      <c r="E77" s="40" t="s">
        <v>189</v>
      </c>
      <c r="F77" s="42"/>
      <c r="G77" s="42"/>
      <c r="H77" s="42"/>
      <c r="I77" s="42"/>
      <c r="J77" s="42"/>
      <c r="K77" s="42"/>
      <c r="L77" s="42"/>
      <c r="M77" s="43">
        <v>17</v>
      </c>
      <c r="N77" s="44"/>
      <c r="O77" s="44"/>
      <c r="P77" s="44"/>
      <c r="Q77" s="44"/>
      <c r="R77" s="44"/>
      <c r="S77" s="45"/>
      <c r="T77" s="45"/>
      <c r="U77" s="46"/>
    </row>
    <row r="78" spans="1:21" x14ac:dyDescent="0.2">
      <c r="A78" s="39">
        <v>52</v>
      </c>
      <c r="B78" s="40">
        <v>95</v>
      </c>
      <c r="C78" s="71"/>
      <c r="D78" s="41">
        <v>2</v>
      </c>
      <c r="E78" s="40" t="s">
        <v>190</v>
      </c>
      <c r="F78" s="42"/>
      <c r="G78" s="42"/>
      <c r="H78" s="42"/>
      <c r="I78" s="42"/>
      <c r="J78" s="42"/>
      <c r="K78" s="42"/>
      <c r="L78" s="42"/>
      <c r="M78" s="43">
        <v>1</v>
      </c>
      <c r="N78" s="44"/>
      <c r="O78" s="44"/>
      <c r="P78" s="44"/>
      <c r="Q78" s="44"/>
      <c r="R78" s="44"/>
      <c r="S78" s="45"/>
      <c r="T78" s="45"/>
      <c r="U78" s="46"/>
    </row>
    <row r="79" spans="1:21" s="74" customFormat="1" ht="29.25" customHeight="1" x14ac:dyDescent="0.2">
      <c r="A79" s="74" t="s">
        <v>191</v>
      </c>
      <c r="C79" s="75" t="s">
        <v>192</v>
      </c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7"/>
    </row>
    <row r="80" spans="1:21" s="74" customFormat="1" ht="18" customHeight="1" x14ac:dyDescent="0.2">
      <c r="C80" s="78" t="s">
        <v>193</v>
      </c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80"/>
    </row>
    <row r="81" spans="3:21" s="74" customFormat="1" ht="18" customHeight="1" x14ac:dyDescent="0.2">
      <c r="C81" s="81" t="s">
        <v>191</v>
      </c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3"/>
    </row>
  </sheetData>
  <mergeCells count="23">
    <mergeCell ref="C80:U80"/>
    <mergeCell ref="C81:U81"/>
    <mergeCell ref="C46:C63"/>
    <mergeCell ref="C64:C69"/>
    <mergeCell ref="C71:C73"/>
    <mergeCell ref="C75:C76"/>
    <mergeCell ref="C77:C78"/>
    <mergeCell ref="C79:U79"/>
    <mergeCell ref="T2:T3"/>
    <mergeCell ref="U2:U3"/>
    <mergeCell ref="C4:C31"/>
    <mergeCell ref="C32:C39"/>
    <mergeCell ref="C40:C41"/>
    <mergeCell ref="C42:C45"/>
    <mergeCell ref="B1:S1"/>
    <mergeCell ref="B2:B3"/>
    <mergeCell ref="C2:C3"/>
    <mergeCell ref="D2:D3"/>
    <mergeCell ref="E2:E3"/>
    <mergeCell ref="F2:F3"/>
    <mergeCell ref="G2:L2"/>
    <mergeCell ref="M2:R2"/>
    <mergeCell ref="S2:S3"/>
  </mergeCells>
  <phoneticPr fontId="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982F-DEEB-44AE-A357-A75763D527C4}">
  <dimension ref="A1:AH3"/>
  <sheetViews>
    <sheetView topLeftCell="O1" workbookViewId="0">
      <selection activeCell="U31" sqref="U31"/>
    </sheetView>
  </sheetViews>
  <sheetFormatPr defaultRowHeight="12.75" x14ac:dyDescent="0.2"/>
  <cols>
    <col min="1" max="1" width="5" style="111" customWidth="1"/>
    <col min="2" max="2" width="14.75" style="112" customWidth="1"/>
    <col min="3" max="3" width="19.25" style="112" customWidth="1"/>
    <col min="4" max="4" width="13.625" style="112" customWidth="1"/>
    <col min="5" max="5" width="19.875" style="112" customWidth="1"/>
    <col min="6" max="6" width="21.25" style="112" customWidth="1"/>
    <col min="7" max="7" width="14" style="112" customWidth="1"/>
    <col min="8" max="8" width="23.75" style="112" customWidth="1"/>
    <col min="9" max="9" width="12.875" style="113" customWidth="1"/>
    <col min="10" max="10" width="14.125" style="113" customWidth="1"/>
    <col min="11" max="11" width="11.375" style="112" customWidth="1"/>
    <col min="12" max="12" width="12.5" style="112" customWidth="1"/>
    <col min="13" max="13" width="11.375" style="112" customWidth="1"/>
    <col min="14" max="18" width="10.25" style="112" customWidth="1"/>
    <col min="19" max="19" width="12.5" style="112" customWidth="1"/>
    <col min="20" max="21" width="11.75" style="112" customWidth="1"/>
    <col min="22" max="22" width="14.375" style="112" customWidth="1"/>
    <col min="23" max="23" width="16.5" style="112" customWidth="1"/>
    <col min="24" max="25" width="10.375" style="112" customWidth="1"/>
    <col min="26" max="26" width="10.875" style="112" customWidth="1"/>
    <col min="27" max="27" width="10.375" style="112" customWidth="1"/>
    <col min="28" max="28" width="12.125" style="114" customWidth="1"/>
    <col min="29" max="29" width="11.125" style="114" customWidth="1"/>
    <col min="30" max="30" width="11.375" style="112" customWidth="1"/>
    <col min="31" max="31" width="11.375" style="115" customWidth="1"/>
    <col min="32" max="32" width="13.125" style="112" customWidth="1"/>
    <col min="33" max="34" width="11.625" style="112" customWidth="1"/>
    <col min="35" max="16384" width="9" style="112"/>
  </cols>
  <sheetData>
    <row r="1" spans="1:34" s="95" customFormat="1" ht="27.75" customHeight="1" thickBot="1" x14ac:dyDescent="0.25">
      <c r="A1" s="94"/>
      <c r="B1" s="94"/>
      <c r="C1" s="94"/>
      <c r="D1" s="94"/>
      <c r="E1" s="94"/>
      <c r="F1" s="94"/>
      <c r="G1" s="94"/>
      <c r="H1" s="94" t="s">
        <v>194</v>
      </c>
      <c r="I1" s="116"/>
      <c r="J1" s="116"/>
      <c r="K1" s="94"/>
      <c r="L1" s="94" t="s">
        <v>222</v>
      </c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117"/>
      <c r="AB1" s="94"/>
      <c r="AC1" s="94"/>
      <c r="AD1" s="94"/>
      <c r="AE1" s="94"/>
      <c r="AF1" s="94"/>
      <c r="AG1" s="94"/>
    </row>
    <row r="2" spans="1:34" s="96" customFormat="1" ht="28.5" customHeight="1" x14ac:dyDescent="0.2">
      <c r="A2" s="118" t="s">
        <v>0</v>
      </c>
      <c r="B2" s="119" t="s">
        <v>195</v>
      </c>
      <c r="C2" s="119" t="s">
        <v>196</v>
      </c>
      <c r="D2" s="119" t="s">
        <v>197</v>
      </c>
      <c r="E2" s="119" t="s">
        <v>3</v>
      </c>
      <c r="F2" s="119" t="s">
        <v>198</v>
      </c>
      <c r="G2" s="119" t="s">
        <v>199</v>
      </c>
      <c r="H2" s="119" t="s">
        <v>5</v>
      </c>
      <c r="I2" s="119" t="s">
        <v>200</v>
      </c>
      <c r="J2" s="119" t="s">
        <v>201</v>
      </c>
      <c r="K2" s="119" t="s">
        <v>223</v>
      </c>
      <c r="L2" s="120" t="s">
        <v>202</v>
      </c>
      <c r="M2" s="120" t="s">
        <v>203</v>
      </c>
      <c r="N2" s="120" t="s">
        <v>204</v>
      </c>
      <c r="O2" s="121" t="s">
        <v>205</v>
      </c>
      <c r="P2" s="121" t="s">
        <v>206</v>
      </c>
      <c r="Q2" s="121" t="s">
        <v>207</v>
      </c>
      <c r="R2" s="121" t="s">
        <v>224</v>
      </c>
      <c r="S2" s="121" t="s">
        <v>208</v>
      </c>
      <c r="T2" s="122" t="s">
        <v>209</v>
      </c>
      <c r="U2" s="122" t="s">
        <v>210</v>
      </c>
      <c r="V2" s="122" t="s">
        <v>211</v>
      </c>
      <c r="W2" s="122" t="s">
        <v>225</v>
      </c>
      <c r="X2" s="123" t="s">
        <v>212</v>
      </c>
      <c r="Y2" s="123" t="s">
        <v>213</v>
      </c>
      <c r="Z2" s="122" t="s">
        <v>214</v>
      </c>
      <c r="AA2" s="123" t="s">
        <v>215</v>
      </c>
      <c r="AB2" s="124" t="s">
        <v>216</v>
      </c>
      <c r="AC2" s="125" t="s">
        <v>217</v>
      </c>
      <c r="AD2" s="126" t="s">
        <v>218</v>
      </c>
      <c r="AE2" s="127" t="s">
        <v>219</v>
      </c>
      <c r="AF2" s="128" t="s">
        <v>220</v>
      </c>
      <c r="AG2" s="129" t="s">
        <v>221</v>
      </c>
    </row>
    <row r="3" spans="1:34" s="110" customFormat="1" ht="20.100000000000001" customHeight="1" x14ac:dyDescent="0.2">
      <c r="A3" s="97" t="s">
        <v>226</v>
      </c>
      <c r="B3" s="98" t="s">
        <v>69</v>
      </c>
      <c r="C3" s="99" t="s">
        <v>231</v>
      </c>
      <c r="D3" s="98" t="s">
        <v>63</v>
      </c>
      <c r="E3" s="98" t="s">
        <v>64</v>
      </c>
      <c r="F3" s="98" t="s">
        <v>227</v>
      </c>
      <c r="G3" s="100">
        <v>45474</v>
      </c>
      <c r="H3" s="99" t="s">
        <v>228</v>
      </c>
      <c r="I3" s="101" t="s">
        <v>229</v>
      </c>
      <c r="J3" s="99" t="s">
        <v>230</v>
      </c>
      <c r="K3" s="102">
        <v>17999</v>
      </c>
      <c r="L3" s="102">
        <v>17999</v>
      </c>
      <c r="M3" s="102">
        <v>17999</v>
      </c>
      <c r="N3" s="103">
        <v>9983</v>
      </c>
      <c r="O3" s="104">
        <v>1439.92</v>
      </c>
      <c r="P3" s="104">
        <v>359.98</v>
      </c>
      <c r="Q3" s="104">
        <v>90</v>
      </c>
      <c r="R3" s="105">
        <v>18</v>
      </c>
      <c r="S3" s="104">
        <v>1907.9</v>
      </c>
      <c r="T3" s="104">
        <v>2879.84</v>
      </c>
      <c r="U3" s="104">
        <v>1439.92</v>
      </c>
      <c r="V3" s="104">
        <v>90</v>
      </c>
      <c r="W3" s="104">
        <v>54</v>
      </c>
      <c r="X3" s="106">
        <v>179.99</v>
      </c>
      <c r="Y3" s="106">
        <v>36</v>
      </c>
      <c r="Z3" s="105">
        <v>99.83</v>
      </c>
      <c r="AA3" s="107">
        <v>4779.58</v>
      </c>
      <c r="AB3" s="107">
        <v>6687.48</v>
      </c>
      <c r="AC3" s="102">
        <v>14172</v>
      </c>
      <c r="AD3" s="104">
        <v>708.6</v>
      </c>
      <c r="AE3" s="104">
        <v>708.6</v>
      </c>
      <c r="AF3" s="108">
        <v>1417.2</v>
      </c>
      <c r="AG3" s="109">
        <v>8104.6799999999994</v>
      </c>
      <c r="AH3" s="110">
        <v>1475.92</v>
      </c>
    </row>
  </sheetData>
  <phoneticPr fontId="2" type="noConversion"/>
  <conditionalFormatting sqref="C1:C3">
    <cfRule type="duplicateValues" dxfId="6" priority="7"/>
  </conditionalFormatting>
  <conditionalFormatting sqref="B3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A790-AB4E-489F-8A18-3F388672C2C4}">
  <dimension ref="A1:D2"/>
  <sheetViews>
    <sheetView workbookViewId="0">
      <selection activeCell="C26" sqref="C26"/>
    </sheetView>
  </sheetViews>
  <sheetFormatPr defaultColWidth="14.75" defaultRowHeight="14.25" x14ac:dyDescent="0.2"/>
  <cols>
    <col min="3" max="3" width="29.625" customWidth="1"/>
    <col min="4" max="4" width="24.25" customWidth="1"/>
  </cols>
  <sheetData>
    <row r="1" spans="1:4" x14ac:dyDescent="0.2">
      <c r="A1" s="131" t="s">
        <v>234</v>
      </c>
      <c r="B1" s="131" t="s">
        <v>235</v>
      </c>
      <c r="C1" s="131" t="s">
        <v>236</v>
      </c>
      <c r="D1" s="131" t="s">
        <v>237</v>
      </c>
    </row>
    <row r="2" spans="1:4" x14ac:dyDescent="0.2">
      <c r="A2" s="131" t="s">
        <v>238</v>
      </c>
      <c r="B2" s="131" t="s">
        <v>240</v>
      </c>
      <c r="C2" s="131" t="s">
        <v>239</v>
      </c>
      <c r="D2" s="131">
        <v>14000</v>
      </c>
    </row>
  </sheetData>
  <phoneticPr fontId="3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6月工资表</vt:lpstr>
      <vt:lpstr>2024.12-2025.5工资表</vt:lpstr>
      <vt:lpstr>附件1销售、客服、培训绩效表</vt:lpstr>
      <vt:lpstr>附件2龙图信息考勤汇总表-202506-最终呈现表</vt:lpstr>
      <vt:lpstr>附件3社保、公积金明细表</vt:lpstr>
      <vt:lpstr>附件4 专项附加扣除累计表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单珊</cp:lastModifiedBy>
  <dcterms:created xsi:type="dcterms:W3CDTF">2015-06-05T18:19:34Z</dcterms:created>
  <dcterms:modified xsi:type="dcterms:W3CDTF">2025-07-14T01:51:53Z</dcterms:modified>
</cp:coreProperties>
</file>