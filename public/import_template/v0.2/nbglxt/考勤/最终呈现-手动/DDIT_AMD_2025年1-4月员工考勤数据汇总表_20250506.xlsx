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defaultThemeVersion="124226"/>
  <xr:revisionPtr revIDLastSave="0" documentId="13_ncr:1_{22844176-CD03-4C7C-9D8C-B36C0CA7E9B5}" xr6:coauthVersionLast="47" xr6:coauthVersionMax="47" xr10:uidLastSave="{00000000-0000-0000-0000-000000000000}"/>
  <bookViews>
    <workbookView xWindow="-120" yWindow="-120" windowWidth="29040" windowHeight="15840" tabRatio="545" xr2:uid="{00000000-000D-0000-FFFF-FFFF00000000}"/>
  </bookViews>
  <sheets>
    <sheet name="汇总表1月-4月" sheetId="28" r:id="rId1"/>
    <sheet name="1月加班排序表" sheetId="17" r:id="rId2"/>
    <sheet name="2月加班排序表" sheetId="16" r:id="rId3"/>
    <sheet name="3月加班排序表" sheetId="18" r:id="rId4"/>
    <sheet name="4月加班排序表 " sheetId="30" r:id="rId5"/>
  </sheets>
  <externalReferences>
    <externalReference r:id="rId6"/>
    <externalReference r:id="rId7"/>
  </externalReferences>
  <definedNames>
    <definedName name="_xlnm._FilterDatabase" localSheetId="1" hidden="1">'1月加班排序表'!$A$2:$H$2</definedName>
    <definedName name="_xlnm._FilterDatabase" localSheetId="2" hidden="1">'2月加班排序表'!$A$2:$H$31</definedName>
    <definedName name="_xlnm._FilterDatabase" localSheetId="3" hidden="1">'3月加班排序表'!$A$2:$H$2</definedName>
    <definedName name="_xlnm._FilterDatabase" localSheetId="4" hidden="1">'4月加班排序表 '!$A$2:$H$31</definedName>
    <definedName name="_xlnm._FilterDatabase" localSheetId="0" hidden="1">'汇总表1月-4月'!$A$3:$K$17</definedName>
  </definedNames>
  <calcPr calcId="191029"/>
  <pivotCaches>
    <pivotCache cacheId="67" r:id="rId8"/>
  </pivotCaches>
</workbook>
</file>

<file path=xl/calcChain.xml><?xml version="1.0" encoding="utf-8"?>
<calcChain xmlns="http://schemas.openxmlformats.org/spreadsheetml/2006/main">
  <c r="F48" i="28" l="1"/>
  <c r="F56" i="28"/>
  <c r="F43" i="28"/>
  <c r="F44" i="28"/>
  <c r="F45" i="28"/>
  <c r="F46" i="28"/>
  <c r="F47" i="28"/>
  <c r="F49" i="28"/>
  <c r="F50" i="28"/>
  <c r="F51" i="28"/>
  <c r="F52" i="28"/>
  <c r="F53" i="28"/>
  <c r="F54" i="28"/>
  <c r="F55" i="28"/>
  <c r="F42" i="28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4" i="28"/>
  <c r="C5" i="28"/>
  <c r="C6" i="28"/>
  <c r="C7" i="28"/>
  <c r="C8" i="28"/>
  <c r="C9" i="28"/>
  <c r="C10" i="28"/>
  <c r="C11" i="28"/>
  <c r="C12" i="28"/>
  <c r="C13" i="28"/>
  <c r="C14" i="28"/>
  <c r="C15" i="28"/>
  <c r="C16" i="28"/>
  <c r="C17" i="28"/>
  <c r="C4" i="28"/>
  <c r="O18" i="28"/>
  <c r="Q5" i="28"/>
  <c r="Q6" i="28"/>
  <c r="Q7" i="28"/>
  <c r="Q12" i="28"/>
  <c r="Q13" i="28"/>
  <c r="Q17" i="28"/>
  <c r="Q4" i="28"/>
  <c r="G4" i="30"/>
  <c r="G5" i="30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26" i="30"/>
  <c r="G27" i="30"/>
  <c r="G28" i="30"/>
  <c r="G29" i="30"/>
  <c r="G30" i="30"/>
  <c r="G31" i="30"/>
  <c r="G32" i="30"/>
  <c r="G33" i="30"/>
  <c r="G34" i="30"/>
  <c r="G35" i="30"/>
  <c r="G36" i="30"/>
  <c r="G37" i="30"/>
  <c r="G38" i="30"/>
  <c r="G39" i="30"/>
  <c r="G40" i="30"/>
  <c r="G41" i="30"/>
  <c r="G42" i="30"/>
  <c r="G43" i="30"/>
  <c r="G44" i="30"/>
  <c r="G45" i="30"/>
  <c r="G46" i="30"/>
  <c r="G47" i="30"/>
  <c r="G48" i="30"/>
  <c r="P18" i="28"/>
  <c r="Q16" i="28"/>
  <c r="Q15" i="28"/>
  <c r="Q14" i="28"/>
  <c r="Q11" i="28"/>
  <c r="Q10" i="28"/>
  <c r="Q9" i="28"/>
  <c r="Q8" i="28"/>
  <c r="D4" i="30"/>
  <c r="D5" i="30"/>
  <c r="D6" i="30"/>
  <c r="D7" i="30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D37" i="30"/>
  <c r="D38" i="30"/>
  <c r="D39" i="30"/>
  <c r="D40" i="30"/>
  <c r="D41" i="30"/>
  <c r="D42" i="30"/>
  <c r="D43" i="30"/>
  <c r="D44" i="30"/>
  <c r="D45" i="30"/>
  <c r="D46" i="30"/>
  <c r="D47" i="30"/>
  <c r="D48" i="30"/>
  <c r="D3" i="30"/>
  <c r="C6" i="30"/>
  <c r="C7" i="30"/>
  <c r="C8" i="30"/>
  <c r="C9" i="30"/>
  <c r="C10" i="30"/>
  <c r="C11" i="30"/>
  <c r="C12" i="30"/>
  <c r="C13" i="30"/>
  <c r="C14" i="30"/>
  <c r="C15" i="30"/>
  <c r="C16" i="30"/>
  <c r="C17" i="30"/>
  <c r="C18" i="30"/>
  <c r="C19" i="30"/>
  <c r="C20" i="30"/>
  <c r="C21" i="30"/>
  <c r="C22" i="30"/>
  <c r="C23" i="30"/>
  <c r="C24" i="30"/>
  <c r="C25" i="30"/>
  <c r="C26" i="30"/>
  <c r="C27" i="30"/>
  <c r="C28" i="30"/>
  <c r="C29" i="30"/>
  <c r="C30" i="30"/>
  <c r="C31" i="30"/>
  <c r="C32" i="30"/>
  <c r="C33" i="30"/>
  <c r="C34" i="30"/>
  <c r="C35" i="30"/>
  <c r="C36" i="30"/>
  <c r="C37" i="30"/>
  <c r="C38" i="30"/>
  <c r="C39" i="30"/>
  <c r="C40" i="30"/>
  <c r="C41" i="30"/>
  <c r="C42" i="30"/>
  <c r="C43" i="30"/>
  <c r="C44" i="30"/>
  <c r="C45" i="30"/>
  <c r="C46" i="30"/>
  <c r="C47" i="30"/>
  <c r="C48" i="30"/>
  <c r="C4" i="30"/>
  <c r="C5" i="30"/>
  <c r="C3" i="30"/>
  <c r="G3" i="30"/>
  <c r="L5" i="28"/>
  <c r="L6" i="28"/>
  <c r="L8" i="28"/>
  <c r="L9" i="28"/>
  <c r="L10" i="28"/>
  <c r="L11" i="28"/>
  <c r="L12" i="28"/>
  <c r="L13" i="28"/>
  <c r="L16" i="28"/>
  <c r="L17" i="28"/>
  <c r="L4" i="28"/>
  <c r="G7" i="16"/>
  <c r="G17" i="16"/>
  <c r="G23" i="16"/>
  <c r="G26" i="16"/>
  <c r="G21" i="16"/>
  <c r="G25" i="16"/>
  <c r="G8" i="16"/>
  <c r="G11" i="16"/>
  <c r="G16" i="16"/>
  <c r="G9" i="16"/>
  <c r="G29" i="16"/>
  <c r="G14" i="16"/>
  <c r="G6" i="16"/>
  <c r="G18" i="16"/>
  <c r="G4" i="16"/>
  <c r="G31" i="16"/>
  <c r="G30" i="16"/>
  <c r="G24" i="16"/>
  <c r="G19" i="16"/>
  <c r="G13" i="16"/>
  <c r="G5" i="16"/>
  <c r="G3" i="16"/>
  <c r="G28" i="16"/>
  <c r="G22" i="16"/>
  <c r="G27" i="16"/>
  <c r="G10" i="16"/>
  <c r="G20" i="16"/>
  <c r="G15" i="16"/>
  <c r="G12" i="16"/>
  <c r="G24" i="17"/>
  <c r="G16" i="17"/>
  <c r="G5" i="17"/>
  <c r="G21" i="17"/>
  <c r="G18" i="17"/>
  <c r="G19" i="17"/>
  <c r="G31" i="17"/>
  <c r="G32" i="17"/>
  <c r="G7" i="17"/>
  <c r="G22" i="17"/>
  <c r="G34" i="17"/>
  <c r="G14" i="17"/>
  <c r="G6" i="17"/>
  <c r="G23" i="17"/>
  <c r="G9" i="17"/>
  <c r="G17" i="17"/>
  <c r="G28" i="17"/>
  <c r="G3" i="17"/>
  <c r="G26" i="17"/>
  <c r="G20" i="17"/>
  <c r="G27" i="17"/>
  <c r="G29" i="17"/>
  <c r="G33" i="17"/>
  <c r="G30" i="17"/>
  <c r="G12" i="17"/>
  <c r="G13" i="17"/>
  <c r="G4" i="17"/>
  <c r="G25" i="17"/>
  <c r="G8" i="17"/>
  <c r="G11" i="17"/>
  <c r="G15" i="17"/>
  <c r="G10" i="17"/>
  <c r="H4" i="28"/>
  <c r="C42" i="28" s="1"/>
  <c r="Q18" i="28" l="1"/>
  <c r="B62" i="28"/>
  <c r="E15" i="28"/>
  <c r="E10" i="28"/>
  <c r="E11" i="28"/>
  <c r="E9" i="28"/>
  <c r="H6" i="28"/>
  <c r="E4" i="28"/>
  <c r="E8" i="28"/>
  <c r="E6" i="28"/>
  <c r="E14" i="28"/>
  <c r="E13" i="28"/>
  <c r="E7" i="28"/>
  <c r="E12" i="28"/>
  <c r="E5" i="28"/>
  <c r="L18" i="28"/>
  <c r="I18" i="28"/>
  <c r="F18" i="28"/>
  <c r="B61" i="28" l="1"/>
  <c r="C18" i="28"/>
  <c r="B66" i="28" l="1"/>
  <c r="B67" i="28"/>
  <c r="C62" i="28"/>
  <c r="C63" i="28"/>
  <c r="C64" i="28"/>
  <c r="C65" i="28"/>
  <c r="C66" i="28"/>
  <c r="C67" i="28"/>
  <c r="B63" i="28"/>
  <c r="B64" i="28"/>
  <c r="B65" i="28"/>
  <c r="N8" i="28"/>
  <c r="E46" i="28" s="1"/>
  <c r="N10" i="28"/>
  <c r="E48" i="28" s="1"/>
  <c r="N14" i="28"/>
  <c r="E52" i="28" s="1"/>
  <c r="N16" i="28"/>
  <c r="E54" i="28" s="1"/>
  <c r="N4" i="28"/>
  <c r="E42" i="28" s="1"/>
  <c r="K7" i="28"/>
  <c r="D45" i="28" s="1"/>
  <c r="K9" i="28"/>
  <c r="D47" i="28" s="1"/>
  <c r="K8" i="28"/>
  <c r="D46" i="28" s="1"/>
  <c r="K10" i="28"/>
  <c r="D48" i="28" s="1"/>
  <c r="K16" i="28"/>
  <c r="D54" i="28" s="1"/>
  <c r="K4" i="28"/>
  <c r="D42" i="28" s="1"/>
  <c r="H7" i="28"/>
  <c r="C45" i="28" s="1"/>
  <c r="H10" i="28"/>
  <c r="C48" i="28" s="1"/>
  <c r="H16" i="28"/>
  <c r="C54" i="28" s="1"/>
  <c r="M18" i="28"/>
  <c r="J18" i="28"/>
  <c r="G18" i="28"/>
  <c r="N17" i="28"/>
  <c r="E55" i="28" s="1"/>
  <c r="K17" i="28"/>
  <c r="D55" i="28" s="1"/>
  <c r="H17" i="28"/>
  <c r="C55" i="28" s="1"/>
  <c r="N15" i="28"/>
  <c r="E53" i="28" s="1"/>
  <c r="H15" i="28"/>
  <c r="C53" i="28" s="1"/>
  <c r="K14" i="28"/>
  <c r="D52" i="28" s="1"/>
  <c r="H14" i="28"/>
  <c r="C52" i="28" s="1"/>
  <c r="K13" i="28"/>
  <c r="D51" i="28" s="1"/>
  <c r="H13" i="28"/>
  <c r="C51" i="28" s="1"/>
  <c r="N12" i="28"/>
  <c r="E50" i="28" s="1"/>
  <c r="K12" i="28"/>
  <c r="D50" i="28" s="1"/>
  <c r="H12" i="28"/>
  <c r="C50" i="28" s="1"/>
  <c r="N11" i="28"/>
  <c r="E49" i="28" s="1"/>
  <c r="K11" i="28"/>
  <c r="D49" i="28" s="1"/>
  <c r="H11" i="28"/>
  <c r="C49" i="28" s="1"/>
  <c r="H8" i="28"/>
  <c r="C46" i="28" s="1"/>
  <c r="H9" i="28"/>
  <c r="C47" i="28" s="1"/>
  <c r="N7" i="28"/>
  <c r="E45" i="28" s="1"/>
  <c r="N6" i="28"/>
  <c r="E44" i="28" s="1"/>
  <c r="K6" i="28"/>
  <c r="D44" i="28" s="1"/>
  <c r="C44" i="28"/>
  <c r="N5" i="28"/>
  <c r="E43" i="28" s="1"/>
  <c r="K5" i="28"/>
  <c r="D43" i="28" s="1"/>
  <c r="H5" i="28"/>
  <c r="C43" i="28" s="1"/>
  <c r="C61" i="28" l="1"/>
  <c r="C68" i="28" s="1"/>
  <c r="D62" i="28"/>
  <c r="D65" i="28"/>
  <c r="D63" i="28"/>
  <c r="D18" i="28"/>
  <c r="D66" i="28"/>
  <c r="D64" i="28"/>
  <c r="N9" i="28"/>
  <c r="E47" i="28" s="1"/>
  <c r="N13" i="28"/>
  <c r="E51" i="28" s="1"/>
  <c r="K15" i="28"/>
  <c r="D53" i="28" s="1"/>
  <c r="K18" i="28"/>
  <c r="D56" i="28" s="1"/>
  <c r="E16" i="28"/>
  <c r="E17" i="28"/>
  <c r="N18" i="28"/>
  <c r="E56" i="28" s="1"/>
  <c r="D61" i="28" l="1"/>
  <c r="B68" i="28"/>
  <c r="D67" i="28"/>
  <c r="H18" i="28"/>
  <c r="C56" i="28" s="1"/>
  <c r="E18" i="28"/>
  <c r="D68" i="28" l="1"/>
  <c r="G16" i="18" l="1"/>
  <c r="G6" i="18"/>
  <c r="G54" i="18"/>
  <c r="G27" i="18"/>
  <c r="G58" i="18"/>
  <c r="G5" i="18"/>
  <c r="G14" i="18"/>
  <c r="G41" i="18"/>
  <c r="G55" i="18"/>
  <c r="G3" i="18"/>
  <c r="G26" i="18"/>
  <c r="G43" i="18"/>
  <c r="G42" i="18"/>
  <c r="G22" i="18"/>
  <c r="G34" i="18"/>
  <c r="G18" i="18"/>
  <c r="G33" i="18"/>
  <c r="G30" i="18"/>
  <c r="G8" i="18"/>
  <c r="G48" i="18"/>
  <c r="G39" i="18"/>
  <c r="G23" i="18"/>
  <c r="G10" i="18"/>
  <c r="G20" i="18"/>
  <c r="G53" i="18"/>
  <c r="G47" i="18"/>
  <c r="G45" i="18"/>
  <c r="G49" i="18"/>
  <c r="G15" i="18"/>
  <c r="G56" i="18"/>
  <c r="G12" i="18"/>
  <c r="G46" i="18"/>
  <c r="G52" i="18"/>
  <c r="G7" i="18"/>
  <c r="G32" i="18"/>
  <c r="G24" i="18"/>
  <c r="G44" i="18"/>
  <c r="G17" i="18"/>
  <c r="G31" i="18"/>
  <c r="G57" i="18"/>
  <c r="G4" i="18"/>
  <c r="G51" i="18"/>
  <c r="G29" i="18"/>
  <c r="G38" i="18"/>
  <c r="G36" i="18"/>
  <c r="G35" i="18"/>
  <c r="G11" i="18"/>
  <c r="G21" i="18"/>
  <c r="G50" i="18"/>
  <c r="G28" i="18"/>
  <c r="G13" i="18"/>
  <c r="G59" i="18"/>
  <c r="G9" i="18"/>
  <c r="G25" i="18"/>
  <c r="G37" i="18"/>
  <c r="G19" i="18"/>
  <c r="G40" i="18"/>
</calcChain>
</file>

<file path=xl/sharedStrings.xml><?xml version="1.0" encoding="utf-8"?>
<sst xmlns="http://schemas.openxmlformats.org/spreadsheetml/2006/main" count="537" uniqueCount="133">
  <si>
    <t>BU</t>
    <phoneticPr fontId="1" type="noConversion"/>
  </si>
  <si>
    <t>项目组</t>
    <phoneticPr fontId="1" type="noConversion"/>
  </si>
  <si>
    <t>月在职人数</t>
    <phoneticPr fontId="1" type="noConversion"/>
  </si>
  <si>
    <t>月人均加班小时数</t>
    <phoneticPr fontId="1" type="noConversion"/>
  </si>
  <si>
    <t>加班总小时数</t>
    <phoneticPr fontId="1" type="noConversion"/>
  </si>
  <si>
    <t>1月</t>
    <phoneticPr fontId="1" type="noConversion"/>
  </si>
  <si>
    <t>2月</t>
    <phoneticPr fontId="1" type="noConversion"/>
  </si>
  <si>
    <t>商务法务部</t>
  </si>
  <si>
    <t>项目管理办公室</t>
  </si>
  <si>
    <t>财务部</t>
  </si>
  <si>
    <t>IT服务部</t>
  </si>
  <si>
    <t>人力资源&amp;行政部</t>
  </si>
  <si>
    <t>慧税学苑-教研组</t>
  </si>
  <si>
    <t>慧税学苑-运营组</t>
  </si>
  <si>
    <t>序号</t>
    <phoneticPr fontId="1" type="noConversion"/>
  </si>
  <si>
    <t>员工姓名</t>
    <phoneticPr fontId="1" type="noConversion"/>
  </si>
  <si>
    <t>BU名称</t>
    <phoneticPr fontId="1" type="noConversion"/>
  </si>
  <si>
    <t>加班总频次</t>
  </si>
  <si>
    <t>备注</t>
    <phoneticPr fontId="1" type="noConversion"/>
  </si>
  <si>
    <t>王佰超</t>
  </si>
  <si>
    <t>闫洪伟</t>
  </si>
  <si>
    <t>慧税云服</t>
  </si>
  <si>
    <t>方应广</t>
  </si>
  <si>
    <t>孙家棣</t>
  </si>
  <si>
    <t>刘雨鑫</t>
  </si>
  <si>
    <t>单国枫</t>
  </si>
  <si>
    <t>张琪</t>
  </si>
  <si>
    <t>刘荣章</t>
  </si>
  <si>
    <t>王小玢</t>
  </si>
  <si>
    <t>孙健</t>
  </si>
  <si>
    <t>吕文文</t>
  </si>
  <si>
    <t>李冬阳</t>
  </si>
  <si>
    <t>孙云龙</t>
  </si>
  <si>
    <t>王连城</t>
  </si>
  <si>
    <t>赵秋磊</t>
  </si>
  <si>
    <t>徐帅</t>
  </si>
  <si>
    <t>石磊</t>
  </si>
  <si>
    <t>王昌旸</t>
  </si>
  <si>
    <t>杨国涛</t>
  </si>
  <si>
    <t>李超</t>
  </si>
  <si>
    <t>何广</t>
  </si>
  <si>
    <t>宝佳</t>
  </si>
  <si>
    <t>合计</t>
    <phoneticPr fontId="1" type="noConversion"/>
  </si>
  <si>
    <t>汪子洋</t>
  </si>
  <si>
    <t>贾智博</t>
  </si>
  <si>
    <t>郭妍</t>
  </si>
  <si>
    <t>平均单频加班小时数</t>
    <phoneticPr fontId="1" type="noConversion"/>
  </si>
  <si>
    <t>慧税学苑-品牌组</t>
    <phoneticPr fontId="1" type="noConversion"/>
  </si>
  <si>
    <t>慧税学苑-产品研发组</t>
    <phoneticPr fontId="1" type="noConversion"/>
  </si>
  <si>
    <t>张传林</t>
  </si>
  <si>
    <t>人均加班小时数</t>
    <phoneticPr fontId="1" type="noConversion"/>
  </si>
  <si>
    <t>月均在职人数</t>
    <phoneticPr fontId="1" type="noConversion"/>
  </si>
  <si>
    <t>慧税学苑-产品研发组</t>
  </si>
  <si>
    <t>慧税学苑-品牌组</t>
  </si>
  <si>
    <t>慧税云服</t>
    <phoneticPr fontId="1" type="noConversion"/>
  </si>
  <si>
    <t>备注：加班1小时起计算，不满1小时不计入加班。</t>
    <phoneticPr fontId="1" type="noConversion"/>
  </si>
  <si>
    <t>1月人均加班小时数</t>
    <phoneticPr fontId="1" type="noConversion"/>
  </si>
  <si>
    <t>2月人均加班小时数</t>
    <phoneticPr fontId="1" type="noConversion"/>
  </si>
  <si>
    <t>张思思</t>
  </si>
  <si>
    <t>牟嘉文</t>
  </si>
  <si>
    <t>杨彬</t>
  </si>
  <si>
    <t>蒋文武</t>
  </si>
  <si>
    <t>陈秋阳</t>
  </si>
  <si>
    <t>陈琳</t>
  </si>
  <si>
    <t>李艳婷</t>
  </si>
  <si>
    <t>陈芊彤</t>
  </si>
  <si>
    <t>郝延敏</t>
  </si>
  <si>
    <t>郝帅</t>
  </si>
  <si>
    <t>张慧艳</t>
  </si>
  <si>
    <t>郑婕</t>
  </si>
  <si>
    <t>陈永志</t>
  </si>
  <si>
    <t>刘天明</t>
  </si>
  <si>
    <t>张晓东</t>
  </si>
  <si>
    <t>3月</t>
    <phoneticPr fontId="1" type="noConversion"/>
  </si>
  <si>
    <t>3月人均加班小时数</t>
    <phoneticPr fontId="1" type="noConversion"/>
  </si>
  <si>
    <t>杨雪</t>
  </si>
  <si>
    <t>姜起波</t>
  </si>
  <si>
    <t>姜颖君</t>
  </si>
  <si>
    <t>姜玉刚</t>
  </si>
  <si>
    <t>巩锡莹</t>
  </si>
  <si>
    <t>郝军</t>
  </si>
  <si>
    <t>张权中</t>
  </si>
  <si>
    <t>李广旭</t>
  </si>
  <si>
    <t>徐友</t>
  </si>
  <si>
    <t>祝泓旭</t>
  </si>
  <si>
    <t>鲁继铎</t>
  </si>
  <si>
    <t>李海龙</t>
  </si>
  <si>
    <t>于新一</t>
  </si>
  <si>
    <t>王菲</t>
  </si>
  <si>
    <t>B端服务组</t>
  </si>
  <si>
    <t>G端服务组</t>
  </si>
  <si>
    <t>税企服务中心</t>
    <phoneticPr fontId="1" type="noConversion"/>
  </si>
  <si>
    <t>G端服务组</t>
    <phoneticPr fontId="1" type="noConversion"/>
  </si>
  <si>
    <t>B端服务组</t>
    <phoneticPr fontId="1" type="noConversion"/>
  </si>
  <si>
    <t>资源中心-资源组</t>
    <phoneticPr fontId="1" type="noConversion"/>
  </si>
  <si>
    <t>资源中心-数据组</t>
    <phoneticPr fontId="1" type="noConversion"/>
  </si>
  <si>
    <t>资源中心-架构组</t>
    <phoneticPr fontId="1" type="noConversion"/>
  </si>
  <si>
    <t>杨志强</t>
  </si>
  <si>
    <t>税企服务中心</t>
  </si>
  <si>
    <t>资源中心-资源组</t>
  </si>
  <si>
    <t>资源中心-架构组</t>
  </si>
  <si>
    <t>2025年1月员工加班排序（按加班小时数）</t>
    <phoneticPr fontId="1" type="noConversion"/>
  </si>
  <si>
    <t>2025年2月员工加班排序（按加班小时数）</t>
    <phoneticPr fontId="1" type="noConversion"/>
  </si>
  <si>
    <t>2025年3月员工加班排序（按加班小时数）</t>
    <phoneticPr fontId="1" type="noConversion"/>
  </si>
  <si>
    <t>刘强</t>
  </si>
  <si>
    <t>毛志鹏</t>
  </si>
  <si>
    <t>钟新宇</t>
  </si>
  <si>
    <t>曹国敬</t>
  </si>
  <si>
    <t>单珊</t>
  </si>
  <si>
    <t>蒋本乐</t>
  </si>
  <si>
    <t>焦铄然</t>
  </si>
  <si>
    <t>李青</t>
  </si>
  <si>
    <t>宋昭成</t>
  </si>
  <si>
    <t>资源中心-数据组</t>
  </si>
  <si>
    <t>总经办</t>
  </si>
  <si>
    <t>2025年4月员工加班排序（按加班小时数）</t>
    <phoneticPr fontId="1" type="noConversion"/>
  </si>
  <si>
    <t>单博涵</t>
  </si>
  <si>
    <t>付荣廷</t>
  </si>
  <si>
    <t>鞠琪</t>
  </si>
  <si>
    <t>刘瑶</t>
  </si>
  <si>
    <t>张德强</t>
  </si>
  <si>
    <t>张万松</t>
  </si>
  <si>
    <t>2025年1-4月员工加班小时数汇总（按项目组）</t>
    <phoneticPr fontId="1" type="noConversion"/>
  </si>
  <si>
    <t>2025年1-4月人均加班小时数汇总（按项目组）</t>
    <phoneticPr fontId="1" type="noConversion"/>
  </si>
  <si>
    <t>2025年1-4月员工加班小时数汇总（按BU）</t>
    <phoneticPr fontId="1" type="noConversion"/>
  </si>
  <si>
    <t>加班总小时数（1-4月）</t>
    <phoneticPr fontId="1" type="noConversion"/>
  </si>
  <si>
    <t>月均在职人数（1-4月）</t>
    <phoneticPr fontId="1" type="noConversion"/>
  </si>
  <si>
    <t>人均加班小时数（1-4月）</t>
    <phoneticPr fontId="1" type="noConversion"/>
  </si>
  <si>
    <t>4月</t>
    <phoneticPr fontId="1" type="noConversion"/>
  </si>
  <si>
    <t>行标签</t>
  </si>
  <si>
    <t>总计</t>
  </si>
  <si>
    <t>求和项:加班总小时数</t>
  </si>
  <si>
    <t>4月人均加班小时数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</si>
</sst>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h]:mm:ss"/>
  </numFmts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1"/>
      <color theme="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8" xfId="0" applyFont="1" applyBorder="1" applyAlignment="1">
      <alignment vertical="center"/>
    </xf>
    <xf numFmtId="0" fontId="3" fillId="0" borderId="0" xfId="0" applyFont="1"/>
    <xf numFmtId="46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6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6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49" fontId="4" fillId="2" borderId="0" xfId="0" applyNumberFormat="1" applyFont="1" applyFill="1"/>
    <xf numFmtId="4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6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/>
    <xf numFmtId="49" fontId="4" fillId="0" borderId="0" xfId="0" applyNumberFormat="1" applyFont="1"/>
    <xf numFmtId="4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/>
    <xf numFmtId="46" fontId="3" fillId="0" borderId="0" xfId="0" applyNumberFormat="1" applyFont="1"/>
    <xf numFmtId="46" fontId="3" fillId="0" borderId="0" xfId="0" applyNumberFormat="1" applyFont="1" applyAlignment="1">
      <alignment horizontal="center"/>
    </xf>
    <xf numFmtId="0" fontId="3" fillId="2" borderId="0" xfId="0" applyFont="1" applyFill="1"/>
    <xf numFmtId="0" fontId="4" fillId="2" borderId="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 wrapText="1"/>
    </xf>
    <xf numFmtId="49" fontId="3" fillId="0" borderId="0" xfId="0" applyNumberFormat="1" applyFont="1"/>
    <xf numFmtId="0" fontId="6" fillId="4" borderId="1" xfId="0" applyFont="1" applyFill="1" applyBorder="1" applyAlignment="1">
      <alignment horizontal="center" vertical="center"/>
    </xf>
    <xf numFmtId="46" fontId="6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76" fontId="3" fillId="0" borderId="1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4" fillId="6" borderId="1" xfId="0" applyNumberFormat="1" applyFont="1" applyFill="1" applyBorder="1"/>
    <xf numFmtId="46" fontId="3" fillId="6" borderId="1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176" fontId="0" fillId="0" borderId="0" xfId="0" applyNumberFormat="1"/>
    <xf numFmtId="0" fontId="0" fillId="0" borderId="0" xfId="0" pivotButton="1"/>
    <xf numFmtId="0" fontId="2" fillId="0" borderId="1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 wrapText="1"/>
    </xf>
    <xf numFmtId="49" fontId="4" fillId="5" borderId="3" xfId="0" applyNumberFormat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46" fontId="4" fillId="5" borderId="2" xfId="0" applyNumberFormat="1" applyFont="1" applyFill="1" applyBorder="1" applyAlignment="1">
      <alignment horizontal="center" vertical="center" wrapText="1"/>
    </xf>
    <xf numFmtId="46" fontId="4" fillId="5" borderId="3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en-US" altLang="zh-CN" b="1">
                <a:latin typeface="微软雅黑" panose="020B0503020204020204" pitchFamily="34" charset="-122"/>
                <a:ea typeface="微软雅黑" panose="020B0503020204020204" pitchFamily="34" charset="-122"/>
              </a:rPr>
              <a:t>1-4</a:t>
            </a:r>
            <a:r>
              <a:rPr lang="zh-CN" altLang="en-US" b="1">
                <a:latin typeface="微软雅黑" panose="020B0503020204020204" pitchFamily="34" charset="-122"/>
                <a:ea typeface="微软雅黑" panose="020B0503020204020204" pitchFamily="34" charset="-122"/>
              </a:rPr>
              <a:t>人均加班小时数（按项目组）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2.3786676177310086E-2"/>
          <c:y val="0.1509468822170901"/>
          <c:w val="0.96864984397876819"/>
          <c:h val="0.79081376952592242"/>
        </c:manualLayout>
      </c:layout>
      <c:lineChart>
        <c:grouping val="standard"/>
        <c:varyColors val="0"/>
        <c:ser>
          <c:idx val="0"/>
          <c:order val="0"/>
          <c:tx>
            <c:strRef>
              <c:f>'汇总表1月-4月'!$E$2</c:f>
              <c:strCache>
                <c:ptCount val="1"/>
                <c:pt idx="0">
                  <c:v>人均加班小时数（1-4月）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'汇总表1月-4月'!$B$3:$B$17</c:f>
              <c:strCache>
                <c:ptCount val="15"/>
                <c:pt idx="1">
                  <c:v>慧税学苑-产品研发组</c:v>
                </c:pt>
                <c:pt idx="2">
                  <c:v>慧税学苑-教研组</c:v>
                </c:pt>
                <c:pt idx="3">
                  <c:v>慧税学苑-运营组</c:v>
                </c:pt>
                <c:pt idx="4">
                  <c:v>慧税学苑-品牌组</c:v>
                </c:pt>
                <c:pt idx="5">
                  <c:v>B端服务组</c:v>
                </c:pt>
                <c:pt idx="6">
                  <c:v>G端服务组</c:v>
                </c:pt>
                <c:pt idx="7">
                  <c:v>资源中心-资源组</c:v>
                </c:pt>
                <c:pt idx="8">
                  <c:v>资源中心-数据组</c:v>
                </c:pt>
                <c:pt idx="9">
                  <c:v>资源中心-架构组</c:v>
                </c:pt>
                <c:pt idx="10">
                  <c:v>商务法务部</c:v>
                </c:pt>
                <c:pt idx="11">
                  <c:v>项目管理办公室</c:v>
                </c:pt>
                <c:pt idx="12">
                  <c:v>财务部</c:v>
                </c:pt>
                <c:pt idx="13">
                  <c:v>IT服务部</c:v>
                </c:pt>
                <c:pt idx="14">
                  <c:v>人力资源&amp;行政部</c:v>
                </c:pt>
              </c:strCache>
            </c:strRef>
          </c:cat>
          <c:val>
            <c:numRef>
              <c:f>'汇总表1月-4月'!$E$3:$E$17</c:f>
              <c:numCache>
                <c:formatCode>[h]:mm:ss</c:formatCode>
                <c:ptCount val="15"/>
                <c:pt idx="1">
                  <c:v>1.2687499999999998</c:v>
                </c:pt>
                <c:pt idx="2">
                  <c:v>0.26751543209876544</c:v>
                </c:pt>
                <c:pt idx="3">
                  <c:v>0.7836805555555556</c:v>
                </c:pt>
                <c:pt idx="4">
                  <c:v>0.28263888888888888</c:v>
                </c:pt>
                <c:pt idx="5">
                  <c:v>0.40326646090534979</c:v>
                </c:pt>
                <c:pt idx="6">
                  <c:v>0.37044270833333337</c:v>
                </c:pt>
                <c:pt idx="7">
                  <c:v>0.16415895061728394</c:v>
                </c:pt>
                <c:pt idx="8">
                  <c:v>6.7708333333333343E-2</c:v>
                </c:pt>
                <c:pt idx="9">
                  <c:v>7.6041666666666674E-2</c:v>
                </c:pt>
                <c:pt idx="10">
                  <c:v>0.51319444444444451</c:v>
                </c:pt>
                <c:pt idx="11">
                  <c:v>0</c:v>
                </c:pt>
                <c:pt idx="12">
                  <c:v>0</c:v>
                </c:pt>
                <c:pt idx="13">
                  <c:v>1.2000000000000002</c:v>
                </c:pt>
                <c:pt idx="14">
                  <c:v>0.3371527777777778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64-49B0-9823-8C3CB5BD6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4051776"/>
        <c:axId val="2004044704"/>
      </c:lineChart>
      <c:catAx>
        <c:axId val="200405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4044704"/>
        <c:crosses val="autoZero"/>
        <c:auto val="1"/>
        <c:lblAlgn val="ctr"/>
        <c:lblOffset val="100"/>
        <c:noMultiLvlLbl val="0"/>
      </c:catAx>
      <c:valAx>
        <c:axId val="2004044704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h]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4051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19</xdr:row>
      <xdr:rowOff>85725</xdr:rowOff>
    </xdr:from>
    <xdr:to>
      <xdr:col>13</xdr:col>
      <xdr:colOff>895348</xdr:colOff>
      <xdr:row>36</xdr:row>
      <xdr:rowOff>171450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2F354A5-F77F-4FF9-A67B-D778EC04D8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gfei\Desktop\DDIT_AMD_&#21152;&#29677;&#32479;&#35745;&#34920;_202503.xlsx" TargetMode="External"/><Relationship Id="rId1" Type="http://schemas.openxmlformats.org/officeDocument/2006/relationships/externalLinkPath" Target="file:///C:\Users\wangfei\Desktop\DDIT_AMD_&#21152;&#29677;&#32479;&#35745;&#34920;_20250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4037;&#20316;\&#20154;&#20107;\&#32771;&#21220;\2025\g&#24037;&#21495;.xlsx" TargetMode="External"/><Relationship Id="rId1" Type="http://schemas.openxmlformats.org/officeDocument/2006/relationships/externalLinkPath" Target="/&#24037;&#20316;/&#20154;&#20107;/&#32771;&#21220;/2025/g&#24037;&#2149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月1日-31日加班表"/>
      <sheetName val="筛选后"/>
    </sheetNames>
    <sheetDataSet>
      <sheetData sheetId="0"/>
      <sheetData sheetId="1">
        <row r="4">
          <cell r="S4" t="str">
            <v>B端服务组</v>
          </cell>
          <cell r="T4">
            <v>4.0020833333333341</v>
          </cell>
        </row>
        <row r="5">
          <cell r="S5" t="str">
            <v>G端服务组</v>
          </cell>
          <cell r="T5">
            <v>1.8180555555555555</v>
          </cell>
        </row>
        <row r="6">
          <cell r="S6" t="str">
            <v>IT服务部</v>
          </cell>
          <cell r="T6">
            <v>1.2000000000000002</v>
          </cell>
        </row>
        <row r="7">
          <cell r="S7" t="str">
            <v>慧税学苑-产品研发组</v>
          </cell>
          <cell r="T7">
            <v>4.5868055555555545</v>
          </cell>
        </row>
        <row r="8">
          <cell r="S8" t="str">
            <v>慧税学苑-教研组</v>
          </cell>
          <cell r="T8">
            <v>0.82361111111111118</v>
          </cell>
        </row>
        <row r="9">
          <cell r="S9" t="str">
            <v>慧税学苑-运营组</v>
          </cell>
          <cell r="T9">
            <v>0.62777777777777777</v>
          </cell>
        </row>
        <row r="10">
          <cell r="S10" t="str">
            <v>人力资源&amp;行政部</v>
          </cell>
          <cell r="T10">
            <v>0.44027777777777777</v>
          </cell>
        </row>
        <row r="11">
          <cell r="S11" t="str">
            <v>商务法务部</v>
          </cell>
          <cell r="T11">
            <v>0.62708333333333333</v>
          </cell>
        </row>
        <row r="12">
          <cell r="S12" t="str">
            <v>资源中心-架构组</v>
          </cell>
          <cell r="T12">
            <v>4.9305555555555554E-2</v>
          </cell>
        </row>
        <row r="13">
          <cell r="S13" t="str">
            <v>资源中心-数据组</v>
          </cell>
          <cell r="T13">
            <v>0.27083333333333337</v>
          </cell>
        </row>
        <row r="14">
          <cell r="S14" t="str">
            <v>资源中心-资源组</v>
          </cell>
          <cell r="T14">
            <v>0.46180555555555552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/>
      <sheetData sheetId="1">
        <row r="1">
          <cell r="B1" t="str">
            <v>姓名</v>
          </cell>
          <cell r="C1" t="str">
            <v>员工编号</v>
          </cell>
          <cell r="D1" t="str">
            <v>状态</v>
          </cell>
          <cell r="E1" t="str">
            <v>工作地</v>
          </cell>
          <cell r="F1" t="str">
            <v>所属BU</v>
          </cell>
          <cell r="G1" t="str">
            <v>BU负责人</v>
          </cell>
          <cell r="H1" t="str">
            <v>项目组</v>
          </cell>
        </row>
        <row r="2">
          <cell r="B2" t="str">
            <v>赵昕国</v>
          </cell>
          <cell r="C2" t="str">
            <v>D000001</v>
          </cell>
          <cell r="D2" t="str">
            <v>正式</v>
          </cell>
          <cell r="E2" t="str">
            <v>大连</v>
          </cell>
          <cell r="F2" t="str">
            <v>总经办</v>
          </cell>
          <cell r="G2" t="str">
            <v>赵昕国</v>
          </cell>
          <cell r="H2" t="str">
            <v>总经办</v>
          </cell>
        </row>
        <row r="3">
          <cell r="B3" t="str">
            <v>涂俭</v>
          </cell>
          <cell r="C3" t="str">
            <v>D000000</v>
          </cell>
          <cell r="D3" t="str">
            <v>正式</v>
          </cell>
          <cell r="E3" t="str">
            <v>大连</v>
          </cell>
          <cell r="F3" t="str">
            <v>总经办</v>
          </cell>
          <cell r="G3" t="str">
            <v>赵昕国</v>
          </cell>
          <cell r="H3" t="str">
            <v>总经办</v>
          </cell>
        </row>
        <row r="4">
          <cell r="B4" t="str">
            <v>李丽沙</v>
          </cell>
          <cell r="C4" t="str">
            <v>D000005</v>
          </cell>
          <cell r="D4" t="str">
            <v>正式</v>
          </cell>
          <cell r="E4" t="str">
            <v>大连</v>
          </cell>
          <cell r="F4" t="str">
            <v>总经办</v>
          </cell>
          <cell r="G4" t="str">
            <v>赵昕国</v>
          </cell>
          <cell r="H4" t="str">
            <v>总经办</v>
          </cell>
        </row>
        <row r="5">
          <cell r="B5" t="str">
            <v>邹利军</v>
          </cell>
          <cell r="C5" t="str">
            <v>D000002</v>
          </cell>
          <cell r="D5" t="str">
            <v>正式</v>
          </cell>
          <cell r="E5" t="str">
            <v>大连</v>
          </cell>
          <cell r="F5" t="str">
            <v>税企服务中心</v>
          </cell>
          <cell r="G5" t="str">
            <v>赵昕国</v>
          </cell>
          <cell r="H5" t="str">
            <v>税企服务中心</v>
          </cell>
        </row>
        <row r="6">
          <cell r="B6" t="str">
            <v>夏特</v>
          </cell>
          <cell r="C6" t="str">
            <v>D000007</v>
          </cell>
          <cell r="D6" t="str">
            <v>正式</v>
          </cell>
          <cell r="E6" t="str">
            <v>大连</v>
          </cell>
          <cell r="F6" t="str">
            <v>税企服务中心</v>
          </cell>
          <cell r="G6" t="str">
            <v>邹利军</v>
          </cell>
          <cell r="H6" t="str">
            <v>税企服务中心</v>
          </cell>
        </row>
        <row r="7">
          <cell r="B7" t="str">
            <v>张福龙</v>
          </cell>
          <cell r="C7" t="str">
            <v>D000009</v>
          </cell>
          <cell r="D7" t="str">
            <v>正式</v>
          </cell>
          <cell r="E7" t="str">
            <v>大连</v>
          </cell>
          <cell r="F7" t="str">
            <v>税企服务中心</v>
          </cell>
          <cell r="G7" t="str">
            <v>邹利军</v>
          </cell>
          <cell r="H7" t="str">
            <v>G端服务组</v>
          </cell>
        </row>
        <row r="8">
          <cell r="B8" t="str">
            <v>夏宇</v>
          </cell>
          <cell r="C8" t="str">
            <v>D000018</v>
          </cell>
          <cell r="D8" t="str">
            <v>正式</v>
          </cell>
          <cell r="E8" t="str">
            <v>大连</v>
          </cell>
          <cell r="F8" t="str">
            <v>税企服务中心</v>
          </cell>
          <cell r="G8" t="str">
            <v>赵昕国</v>
          </cell>
          <cell r="H8" t="str">
            <v>资源中心-数据组</v>
          </cell>
        </row>
        <row r="9">
          <cell r="B9" t="str">
            <v>金洋</v>
          </cell>
          <cell r="C9" t="str">
            <v>D000027</v>
          </cell>
          <cell r="D9" t="str">
            <v>正式</v>
          </cell>
          <cell r="E9" t="str">
            <v>大连</v>
          </cell>
          <cell r="F9" t="str">
            <v>税企服务中心</v>
          </cell>
          <cell r="G9" t="str">
            <v>赵昕国</v>
          </cell>
          <cell r="H9" t="str">
            <v>资源中心-资源组</v>
          </cell>
        </row>
        <row r="10">
          <cell r="B10" t="str">
            <v>王军</v>
          </cell>
          <cell r="C10" t="str">
            <v>D000012</v>
          </cell>
          <cell r="D10" t="str">
            <v>正式</v>
          </cell>
          <cell r="E10" t="str">
            <v>大连</v>
          </cell>
          <cell r="F10" t="str">
            <v>税企服务中心</v>
          </cell>
          <cell r="G10" t="str">
            <v>邹利军</v>
          </cell>
          <cell r="H10" t="str">
            <v>B端服务组</v>
          </cell>
        </row>
        <row r="11">
          <cell r="B11" t="str">
            <v>董小云</v>
          </cell>
          <cell r="C11" t="str">
            <v>D000032</v>
          </cell>
          <cell r="D11" t="str">
            <v>正式</v>
          </cell>
          <cell r="E11" t="str">
            <v>大连</v>
          </cell>
          <cell r="F11" t="str">
            <v>财务部</v>
          </cell>
          <cell r="G11" t="str">
            <v>李丽沙</v>
          </cell>
          <cell r="H11" t="str">
            <v>财务部</v>
          </cell>
        </row>
        <row r="12">
          <cell r="B12" t="str">
            <v>王立伯</v>
          </cell>
          <cell r="C12" t="str">
            <v>D000037</v>
          </cell>
          <cell r="D12" t="str">
            <v>正式</v>
          </cell>
          <cell r="E12" t="str">
            <v>大连</v>
          </cell>
          <cell r="F12" t="str">
            <v>税企服务中心</v>
          </cell>
          <cell r="G12" t="str">
            <v>邹利军</v>
          </cell>
          <cell r="H12" t="str">
            <v>G端服务组</v>
          </cell>
        </row>
        <row r="13">
          <cell r="B13" t="str">
            <v>孙云龙</v>
          </cell>
          <cell r="C13" t="str">
            <v>D000035</v>
          </cell>
          <cell r="D13" t="str">
            <v>正式</v>
          </cell>
          <cell r="E13" t="str">
            <v>大连</v>
          </cell>
          <cell r="F13" t="str">
            <v>税企服务中心</v>
          </cell>
          <cell r="G13" t="str">
            <v>邹利军</v>
          </cell>
          <cell r="H13" t="str">
            <v>G端服务组</v>
          </cell>
        </row>
        <row r="14">
          <cell r="B14" t="str">
            <v>宋昭成</v>
          </cell>
          <cell r="C14" t="str">
            <v>D000013</v>
          </cell>
          <cell r="D14" t="str">
            <v>正式</v>
          </cell>
          <cell r="E14" t="str">
            <v>大连</v>
          </cell>
          <cell r="F14" t="str">
            <v>税企服务中心</v>
          </cell>
          <cell r="G14" t="str">
            <v>邹利军</v>
          </cell>
          <cell r="H14" t="str">
            <v>B端服务组</v>
          </cell>
        </row>
        <row r="15">
          <cell r="B15" t="str">
            <v>毛羽</v>
          </cell>
          <cell r="C15" t="str">
            <v>D000040</v>
          </cell>
          <cell r="D15" t="str">
            <v>正式</v>
          </cell>
          <cell r="E15" t="str">
            <v>大连</v>
          </cell>
          <cell r="F15" t="str">
            <v>税企服务中心</v>
          </cell>
          <cell r="G15" t="str">
            <v>赵昕国</v>
          </cell>
          <cell r="H15" t="str">
            <v>资源中心-资源组</v>
          </cell>
        </row>
        <row r="16">
          <cell r="B16" t="str">
            <v>李冬阳</v>
          </cell>
          <cell r="C16" t="str">
            <v>D000043</v>
          </cell>
          <cell r="D16" t="str">
            <v>正式</v>
          </cell>
          <cell r="E16" t="str">
            <v>大连</v>
          </cell>
          <cell r="F16" t="str">
            <v>税企服务中心</v>
          </cell>
          <cell r="G16" t="str">
            <v>赵昕国</v>
          </cell>
          <cell r="H16" t="str">
            <v>资源中心-资源组</v>
          </cell>
        </row>
        <row r="17">
          <cell r="B17" t="str">
            <v>刘荣章</v>
          </cell>
          <cell r="C17" t="str">
            <v>D000045</v>
          </cell>
          <cell r="D17" t="str">
            <v>正式</v>
          </cell>
          <cell r="E17" t="str">
            <v>大连</v>
          </cell>
          <cell r="F17" t="str">
            <v>税企服务中心</v>
          </cell>
          <cell r="G17" t="str">
            <v>赵昕国</v>
          </cell>
          <cell r="H17" t="str">
            <v>资源中心-数据组</v>
          </cell>
        </row>
        <row r="18">
          <cell r="B18" t="str">
            <v>李超</v>
          </cell>
          <cell r="C18" t="str">
            <v>D000048</v>
          </cell>
          <cell r="D18" t="str">
            <v>正式</v>
          </cell>
          <cell r="E18" t="str">
            <v>大连</v>
          </cell>
          <cell r="F18" t="str">
            <v>商务法务部</v>
          </cell>
          <cell r="G18" t="str">
            <v>赵昕国</v>
          </cell>
          <cell r="H18" t="str">
            <v>商务法务部</v>
          </cell>
        </row>
        <row r="19">
          <cell r="B19" t="str">
            <v>刘勇鑫</v>
          </cell>
          <cell r="C19" t="str">
            <v>D000052</v>
          </cell>
          <cell r="D19" t="str">
            <v>正式</v>
          </cell>
          <cell r="E19" t="str">
            <v>大连</v>
          </cell>
          <cell r="F19" t="str">
            <v>税企服务中心</v>
          </cell>
          <cell r="G19" t="str">
            <v>赵昕国</v>
          </cell>
          <cell r="H19" t="str">
            <v>资源中心-资源组</v>
          </cell>
        </row>
        <row r="20">
          <cell r="B20" t="str">
            <v>郝延敏</v>
          </cell>
          <cell r="C20" t="str">
            <v>D000059</v>
          </cell>
          <cell r="D20" t="str">
            <v>正式</v>
          </cell>
          <cell r="E20" t="str">
            <v>大连</v>
          </cell>
          <cell r="F20" t="str">
            <v>税企服务中心</v>
          </cell>
          <cell r="G20" t="str">
            <v>赵昕国</v>
          </cell>
          <cell r="H20" t="str">
            <v>资源中心-数据组</v>
          </cell>
        </row>
        <row r="21">
          <cell r="B21" t="str">
            <v>闫洪伟</v>
          </cell>
          <cell r="C21" t="str">
            <v>D000060</v>
          </cell>
          <cell r="D21" t="str">
            <v>正式</v>
          </cell>
          <cell r="E21" t="str">
            <v>大连</v>
          </cell>
          <cell r="F21" t="str">
            <v>税企服务中心</v>
          </cell>
          <cell r="G21" t="str">
            <v>邹利军</v>
          </cell>
          <cell r="H21" t="str">
            <v>B端服务组</v>
          </cell>
        </row>
        <row r="22">
          <cell r="B22" t="str">
            <v>姜起波</v>
          </cell>
          <cell r="C22" t="str">
            <v>D000068</v>
          </cell>
          <cell r="D22" t="str">
            <v>正式</v>
          </cell>
          <cell r="E22" t="str">
            <v>大连</v>
          </cell>
          <cell r="F22" t="str">
            <v>税企服务中心</v>
          </cell>
          <cell r="G22" t="str">
            <v>邹利军</v>
          </cell>
          <cell r="H22" t="str">
            <v>B端服务组</v>
          </cell>
        </row>
        <row r="23">
          <cell r="B23" t="str">
            <v>李海龙</v>
          </cell>
          <cell r="C23" t="str">
            <v>D000071</v>
          </cell>
          <cell r="D23" t="str">
            <v>正式</v>
          </cell>
          <cell r="E23" t="str">
            <v>大连</v>
          </cell>
          <cell r="F23" t="str">
            <v>税企服务中心</v>
          </cell>
          <cell r="G23" t="str">
            <v>邹利军</v>
          </cell>
          <cell r="H23" t="str">
            <v>B端服务组</v>
          </cell>
        </row>
        <row r="24">
          <cell r="B24" t="str">
            <v>鲁碧</v>
          </cell>
          <cell r="C24" t="str">
            <v>D000100</v>
          </cell>
          <cell r="D24" t="str">
            <v>正式</v>
          </cell>
          <cell r="E24" t="str">
            <v>大连</v>
          </cell>
          <cell r="F24" t="str">
            <v>税企服务中心</v>
          </cell>
          <cell r="G24" t="str">
            <v>邹利军</v>
          </cell>
          <cell r="H24" t="str">
            <v>B端服务组</v>
          </cell>
        </row>
        <row r="25">
          <cell r="B25" t="str">
            <v>杨佳男</v>
          </cell>
          <cell r="C25" t="str">
            <v>D000102</v>
          </cell>
          <cell r="D25" t="str">
            <v>正式</v>
          </cell>
          <cell r="E25" t="str">
            <v>大连</v>
          </cell>
          <cell r="F25" t="str">
            <v>税企服务中心</v>
          </cell>
          <cell r="G25" t="str">
            <v>赵昕国</v>
          </cell>
          <cell r="H25" t="str">
            <v>资源中心-资源组</v>
          </cell>
        </row>
        <row r="26">
          <cell r="B26" t="str">
            <v>蒋文武</v>
          </cell>
          <cell r="C26" t="str">
            <v>D000115</v>
          </cell>
          <cell r="D26" t="str">
            <v>正式</v>
          </cell>
          <cell r="E26" t="str">
            <v>大连</v>
          </cell>
          <cell r="F26" t="str">
            <v>税企服务中心</v>
          </cell>
          <cell r="G26" t="str">
            <v>赵昕国</v>
          </cell>
          <cell r="H26" t="str">
            <v>资源中心-架构组</v>
          </cell>
        </row>
        <row r="27">
          <cell r="B27" t="str">
            <v>曹国敬</v>
          </cell>
          <cell r="C27" t="str">
            <v>D000131</v>
          </cell>
          <cell r="D27" t="str">
            <v>正式</v>
          </cell>
          <cell r="E27" t="str">
            <v>大连</v>
          </cell>
          <cell r="F27" t="str">
            <v>商务法务部</v>
          </cell>
          <cell r="G27" t="str">
            <v>赵昕国</v>
          </cell>
          <cell r="H27" t="str">
            <v>商务法务部</v>
          </cell>
        </row>
        <row r="28">
          <cell r="B28" t="str">
            <v>杨国涛</v>
          </cell>
          <cell r="C28" t="str">
            <v>D000136</v>
          </cell>
          <cell r="D28" t="str">
            <v>正式</v>
          </cell>
          <cell r="E28" t="str">
            <v>大连</v>
          </cell>
          <cell r="F28" t="str">
            <v>税企服务中心</v>
          </cell>
          <cell r="G28" t="str">
            <v>邹利军</v>
          </cell>
          <cell r="H28" t="str">
            <v>B端服务组</v>
          </cell>
        </row>
        <row r="29">
          <cell r="B29" t="str">
            <v>于新一</v>
          </cell>
          <cell r="C29" t="str">
            <v>D000171</v>
          </cell>
          <cell r="D29" t="str">
            <v>正式</v>
          </cell>
          <cell r="E29" t="str">
            <v>大连</v>
          </cell>
          <cell r="F29" t="str">
            <v>税企服务中心</v>
          </cell>
          <cell r="G29" t="str">
            <v>赵昕国</v>
          </cell>
          <cell r="H29" t="str">
            <v>资源中心-资源组</v>
          </cell>
        </row>
        <row r="30">
          <cell r="B30" t="str">
            <v>刘强</v>
          </cell>
          <cell r="C30" t="str">
            <v>D000180</v>
          </cell>
          <cell r="D30" t="str">
            <v>正式</v>
          </cell>
          <cell r="E30" t="str">
            <v>大连</v>
          </cell>
          <cell r="F30" t="str">
            <v>税企服务中心</v>
          </cell>
          <cell r="G30" t="str">
            <v>邹利军</v>
          </cell>
          <cell r="H30" t="str">
            <v>G端服务组</v>
          </cell>
        </row>
        <row r="31">
          <cell r="B31" t="str">
            <v>臧楠</v>
          </cell>
          <cell r="C31" t="str">
            <v>D000175</v>
          </cell>
          <cell r="D31" t="str">
            <v>正式</v>
          </cell>
          <cell r="E31" t="str">
            <v>大连</v>
          </cell>
          <cell r="F31" t="str">
            <v>税企服务中心</v>
          </cell>
          <cell r="G31" t="str">
            <v>赵昕国</v>
          </cell>
          <cell r="H31" t="str">
            <v>资源中心-架构组</v>
          </cell>
        </row>
        <row r="32">
          <cell r="B32" t="str">
            <v>石磊</v>
          </cell>
          <cell r="C32" t="str">
            <v>D000185</v>
          </cell>
          <cell r="D32" t="str">
            <v>正式</v>
          </cell>
          <cell r="E32" t="str">
            <v>大连</v>
          </cell>
          <cell r="F32" t="str">
            <v>税企服务中心</v>
          </cell>
          <cell r="G32" t="str">
            <v>赵昕国</v>
          </cell>
          <cell r="H32" t="str">
            <v>资源中心-资源组</v>
          </cell>
        </row>
        <row r="33">
          <cell r="B33" t="str">
            <v>王昌旸</v>
          </cell>
          <cell r="C33" t="str">
            <v>D000238</v>
          </cell>
          <cell r="D33" t="str">
            <v>正式</v>
          </cell>
          <cell r="E33" t="str">
            <v>大连</v>
          </cell>
          <cell r="F33" t="str">
            <v>税企服务中心</v>
          </cell>
          <cell r="G33" t="str">
            <v>邹利军</v>
          </cell>
          <cell r="H33" t="str">
            <v>B端服务组</v>
          </cell>
        </row>
        <row r="34">
          <cell r="B34" t="str">
            <v>王佰超</v>
          </cell>
          <cell r="C34" t="str">
            <v>D000287</v>
          </cell>
          <cell r="D34" t="str">
            <v>正式</v>
          </cell>
          <cell r="E34" t="str">
            <v>大连</v>
          </cell>
          <cell r="F34" t="str">
            <v>税企服务中心</v>
          </cell>
          <cell r="G34" t="str">
            <v>邹利军</v>
          </cell>
          <cell r="H34" t="str">
            <v>B端服务组</v>
          </cell>
        </row>
        <row r="35">
          <cell r="B35" t="str">
            <v>宋微</v>
          </cell>
          <cell r="C35" t="str">
            <v>D000306</v>
          </cell>
          <cell r="D35" t="str">
            <v>正式</v>
          </cell>
          <cell r="E35" t="str">
            <v>大连</v>
          </cell>
          <cell r="F35" t="str">
            <v>项目管理办公室</v>
          </cell>
          <cell r="G35" t="str">
            <v>赵昕国</v>
          </cell>
          <cell r="H35" t="str">
            <v>项目管理办公室</v>
          </cell>
        </row>
        <row r="36">
          <cell r="B36" t="str">
            <v>张德强</v>
          </cell>
          <cell r="C36" t="str">
            <v>D000338</v>
          </cell>
          <cell r="D36" t="str">
            <v>正式</v>
          </cell>
          <cell r="E36" t="str">
            <v>沈阳</v>
          </cell>
          <cell r="F36" t="str">
            <v>税企服务中心</v>
          </cell>
          <cell r="G36" t="str">
            <v>邹利军</v>
          </cell>
          <cell r="H36" t="str">
            <v>G端服务组</v>
          </cell>
        </row>
        <row r="37">
          <cell r="B37" t="str">
            <v>周喆</v>
          </cell>
          <cell r="C37" t="str">
            <v>D000318</v>
          </cell>
          <cell r="D37" t="str">
            <v>正式</v>
          </cell>
          <cell r="E37" t="str">
            <v>大连</v>
          </cell>
          <cell r="F37" t="str">
            <v>税企服务中心</v>
          </cell>
          <cell r="G37" t="str">
            <v>赵昕国</v>
          </cell>
          <cell r="H37" t="str">
            <v>资源中心-资源组</v>
          </cell>
        </row>
        <row r="38">
          <cell r="B38" t="str">
            <v>郑婕</v>
          </cell>
          <cell r="C38" t="str">
            <v>D000323</v>
          </cell>
          <cell r="D38" t="str">
            <v>正式</v>
          </cell>
          <cell r="E38" t="str">
            <v>大连</v>
          </cell>
          <cell r="F38" t="str">
            <v>税企服务中心</v>
          </cell>
          <cell r="G38" t="str">
            <v>赵昕国</v>
          </cell>
          <cell r="H38" t="str">
            <v>资源中心-资源组</v>
          </cell>
        </row>
        <row r="39">
          <cell r="B39" t="str">
            <v>祝泓旭</v>
          </cell>
          <cell r="C39" t="str">
            <v>D000361</v>
          </cell>
          <cell r="D39" t="str">
            <v>正式</v>
          </cell>
          <cell r="E39" t="str">
            <v>北京</v>
          </cell>
          <cell r="F39" t="str">
            <v>税企服务中心</v>
          </cell>
          <cell r="G39" t="str">
            <v>邹利军</v>
          </cell>
          <cell r="H39" t="str">
            <v>G端服务组</v>
          </cell>
        </row>
        <row r="40">
          <cell r="B40" t="str">
            <v>秦文志</v>
          </cell>
          <cell r="C40" t="str">
            <v>D000369</v>
          </cell>
          <cell r="D40" t="str">
            <v>正式</v>
          </cell>
          <cell r="E40" t="str">
            <v>大连</v>
          </cell>
          <cell r="F40" t="str">
            <v>税企服务中心</v>
          </cell>
          <cell r="G40" t="str">
            <v>邹利军</v>
          </cell>
          <cell r="H40" t="str">
            <v>G端服务组</v>
          </cell>
        </row>
        <row r="41">
          <cell r="B41" t="str">
            <v>林川博</v>
          </cell>
          <cell r="C41" t="str">
            <v>D000370</v>
          </cell>
          <cell r="D41" t="str">
            <v>正式</v>
          </cell>
          <cell r="E41" t="str">
            <v>大连</v>
          </cell>
          <cell r="F41" t="str">
            <v>税企服务中心</v>
          </cell>
          <cell r="G41" t="str">
            <v>赵昕国</v>
          </cell>
          <cell r="H41" t="str">
            <v>资源中心-资源组</v>
          </cell>
        </row>
        <row r="42">
          <cell r="B42" t="str">
            <v>付荣廷</v>
          </cell>
          <cell r="C42" t="str">
            <v>D000411</v>
          </cell>
          <cell r="D42" t="str">
            <v>正式</v>
          </cell>
          <cell r="E42" t="str">
            <v>大连</v>
          </cell>
          <cell r="F42" t="str">
            <v>税企服务中心</v>
          </cell>
          <cell r="G42" t="str">
            <v>赵昕国</v>
          </cell>
          <cell r="H42" t="str">
            <v>资源中心-资源组</v>
          </cell>
        </row>
        <row r="43">
          <cell r="B43" t="str">
            <v>姜玉刚</v>
          </cell>
          <cell r="C43" t="str">
            <v>D000419</v>
          </cell>
          <cell r="D43" t="str">
            <v>正式</v>
          </cell>
          <cell r="E43" t="str">
            <v>大连</v>
          </cell>
          <cell r="F43" t="str">
            <v>税企服务中心</v>
          </cell>
          <cell r="G43" t="str">
            <v>赵昕国</v>
          </cell>
          <cell r="H43" t="str">
            <v>资源中心-资源组</v>
          </cell>
        </row>
        <row r="44">
          <cell r="B44" t="str">
            <v>赵虹</v>
          </cell>
          <cell r="C44" t="str">
            <v>D000457</v>
          </cell>
          <cell r="D44" t="str">
            <v>正式</v>
          </cell>
          <cell r="E44" t="str">
            <v>大连</v>
          </cell>
          <cell r="F44" t="str">
            <v>财务部</v>
          </cell>
          <cell r="G44" t="str">
            <v>李丽沙</v>
          </cell>
          <cell r="H44" t="str">
            <v>财务部</v>
          </cell>
        </row>
        <row r="45">
          <cell r="B45" t="str">
            <v>吕义庆</v>
          </cell>
          <cell r="C45" t="str">
            <v>D000467</v>
          </cell>
          <cell r="D45" t="str">
            <v>正式</v>
          </cell>
          <cell r="E45" t="str">
            <v>大连</v>
          </cell>
          <cell r="F45" t="str">
            <v>税企服务中心</v>
          </cell>
          <cell r="G45" t="str">
            <v>赵昕国</v>
          </cell>
          <cell r="H45" t="str">
            <v>资源中心-资源组</v>
          </cell>
        </row>
        <row r="46">
          <cell r="B46" t="str">
            <v>张奥</v>
          </cell>
          <cell r="C46" t="str">
            <v>D000460</v>
          </cell>
          <cell r="D46" t="str">
            <v>正式</v>
          </cell>
          <cell r="E46" t="str">
            <v>长春</v>
          </cell>
          <cell r="F46" t="str">
            <v>税企服务中心</v>
          </cell>
          <cell r="G46" t="str">
            <v>邹利军</v>
          </cell>
          <cell r="H46" t="str">
            <v>G端服务组</v>
          </cell>
        </row>
        <row r="47">
          <cell r="B47" t="str">
            <v>汪子洋</v>
          </cell>
          <cell r="C47" t="str">
            <v>D000463</v>
          </cell>
          <cell r="D47" t="str">
            <v>正式</v>
          </cell>
          <cell r="E47" t="str">
            <v>大连</v>
          </cell>
          <cell r="F47" t="str">
            <v>税企服务中心</v>
          </cell>
          <cell r="G47" t="str">
            <v>赵昕国</v>
          </cell>
          <cell r="H47" t="str">
            <v>资源中心-资源组</v>
          </cell>
        </row>
        <row r="48">
          <cell r="B48" t="str">
            <v>巩锡莹</v>
          </cell>
          <cell r="C48" t="str">
            <v>D000514</v>
          </cell>
          <cell r="D48" t="str">
            <v>正式</v>
          </cell>
          <cell r="E48" t="str">
            <v>大连</v>
          </cell>
          <cell r="F48" t="str">
            <v>税企服务中心</v>
          </cell>
          <cell r="G48" t="str">
            <v>赵昕国</v>
          </cell>
          <cell r="H48" t="str">
            <v>资源中心-资源组</v>
          </cell>
        </row>
        <row r="49">
          <cell r="B49" t="str">
            <v>单珊</v>
          </cell>
          <cell r="C49" t="str">
            <v>D000541</v>
          </cell>
          <cell r="D49" t="str">
            <v>正式</v>
          </cell>
          <cell r="E49" t="str">
            <v>大连</v>
          </cell>
          <cell r="F49" t="str">
            <v>人力资源&amp;行政部</v>
          </cell>
          <cell r="G49" t="str">
            <v>李丽沙</v>
          </cell>
          <cell r="H49" t="str">
            <v>人力资源&amp;行政部</v>
          </cell>
        </row>
        <row r="50">
          <cell r="B50" t="str">
            <v>袁秋琛</v>
          </cell>
          <cell r="C50" t="str">
            <v>D000556</v>
          </cell>
          <cell r="D50" t="str">
            <v>正式</v>
          </cell>
          <cell r="E50" t="str">
            <v>大连</v>
          </cell>
          <cell r="F50" t="str">
            <v>财务部</v>
          </cell>
          <cell r="G50" t="str">
            <v>李丽莎</v>
          </cell>
          <cell r="H50" t="str">
            <v>财务部</v>
          </cell>
        </row>
        <row r="51">
          <cell r="B51" t="str">
            <v>华德生</v>
          </cell>
          <cell r="C51" t="str">
            <v>D000559</v>
          </cell>
          <cell r="D51" t="str">
            <v>正式</v>
          </cell>
          <cell r="E51" t="str">
            <v>大连</v>
          </cell>
          <cell r="F51" t="str">
            <v>税企服务中心</v>
          </cell>
          <cell r="G51" t="str">
            <v>赵昕国</v>
          </cell>
          <cell r="H51" t="str">
            <v>资源中心-资源组</v>
          </cell>
        </row>
        <row r="52">
          <cell r="B52" t="str">
            <v>姜海龙</v>
          </cell>
          <cell r="C52" t="str">
            <v>D000565</v>
          </cell>
          <cell r="D52" t="str">
            <v>正式</v>
          </cell>
          <cell r="E52" t="str">
            <v>大连</v>
          </cell>
          <cell r="F52" t="str">
            <v>税企服务中心</v>
          </cell>
          <cell r="G52" t="str">
            <v>赵昕国</v>
          </cell>
          <cell r="H52" t="str">
            <v>资源中心-数据组</v>
          </cell>
        </row>
        <row r="53">
          <cell r="B53" t="str">
            <v>张权中</v>
          </cell>
          <cell r="C53" t="str">
            <v>D000609</v>
          </cell>
          <cell r="D53" t="str">
            <v>正式</v>
          </cell>
          <cell r="E53" t="str">
            <v>大连</v>
          </cell>
          <cell r="F53" t="str">
            <v>慧税云服</v>
          </cell>
          <cell r="G53" t="str">
            <v>郭占彪</v>
          </cell>
          <cell r="H53" t="str">
            <v>慧税学苑-产品研发组</v>
          </cell>
        </row>
        <row r="54">
          <cell r="B54" t="str">
            <v>付伟超</v>
          </cell>
          <cell r="C54" t="str">
            <v>D000612</v>
          </cell>
          <cell r="D54" t="str">
            <v>正式</v>
          </cell>
          <cell r="E54" t="str">
            <v>大连</v>
          </cell>
          <cell r="F54" t="str">
            <v>税企服务中心</v>
          </cell>
          <cell r="G54" t="str">
            <v>赵昕国</v>
          </cell>
          <cell r="H54" t="str">
            <v>资源中心-资源组</v>
          </cell>
        </row>
        <row r="55">
          <cell r="B55" t="str">
            <v>王菲</v>
          </cell>
          <cell r="C55" t="str">
            <v>D000616</v>
          </cell>
          <cell r="D55" t="str">
            <v>正式</v>
          </cell>
          <cell r="E55" t="str">
            <v>大连</v>
          </cell>
          <cell r="F55" t="str">
            <v>人力资源&amp;行政部</v>
          </cell>
          <cell r="G55" t="str">
            <v>李丽莎</v>
          </cell>
          <cell r="H55" t="str">
            <v>人力资源&amp;行政部</v>
          </cell>
        </row>
        <row r="56">
          <cell r="B56" t="str">
            <v>杨志强</v>
          </cell>
          <cell r="C56" t="str">
            <v>D000648</v>
          </cell>
          <cell r="D56" t="str">
            <v>正式</v>
          </cell>
          <cell r="E56" t="str">
            <v>大连</v>
          </cell>
          <cell r="F56" t="str">
            <v>税企服务中心</v>
          </cell>
          <cell r="G56" t="str">
            <v>赵昕国</v>
          </cell>
          <cell r="H56" t="str">
            <v>资源中心-资源组</v>
          </cell>
        </row>
        <row r="57">
          <cell r="B57" t="str">
            <v>蒋本乐</v>
          </cell>
          <cell r="C57" t="str">
            <v>D000649</v>
          </cell>
          <cell r="D57" t="str">
            <v>正式</v>
          </cell>
          <cell r="E57" t="str">
            <v>大连</v>
          </cell>
          <cell r="F57" t="str">
            <v>总经办</v>
          </cell>
          <cell r="G57" t="str">
            <v>赵昕国</v>
          </cell>
          <cell r="H57" t="str">
            <v>IT服务部</v>
          </cell>
        </row>
        <row r="58">
          <cell r="B58" t="str">
            <v>李青</v>
          </cell>
          <cell r="C58" t="str">
            <v>D000650</v>
          </cell>
          <cell r="D58" t="str">
            <v>正式</v>
          </cell>
          <cell r="E58" t="str">
            <v>大连</v>
          </cell>
          <cell r="F58" t="str">
            <v>慧税云服</v>
          </cell>
          <cell r="G58" t="str">
            <v>郭占彪</v>
          </cell>
          <cell r="H58" t="str">
            <v>慧税学苑-产品研发组</v>
          </cell>
        </row>
        <row r="59">
          <cell r="B59" t="str">
            <v>钟新宇</v>
          </cell>
          <cell r="C59" t="str">
            <v>D000667</v>
          </cell>
          <cell r="D59" t="str">
            <v>正式</v>
          </cell>
          <cell r="E59" t="str">
            <v>大连</v>
          </cell>
          <cell r="F59" t="str">
            <v>慧税云服</v>
          </cell>
          <cell r="G59" t="str">
            <v>郭占彪</v>
          </cell>
          <cell r="H59" t="str">
            <v>慧税学苑-产品研发组</v>
          </cell>
        </row>
        <row r="60">
          <cell r="B60" t="str">
            <v>朱星儒</v>
          </cell>
          <cell r="C60" t="str">
            <v>D000721</v>
          </cell>
          <cell r="D60" t="str">
            <v>正式</v>
          </cell>
          <cell r="E60" t="str">
            <v>大连</v>
          </cell>
          <cell r="F60" t="str">
            <v>税企服务中心</v>
          </cell>
          <cell r="G60" t="str">
            <v>赵昕国</v>
          </cell>
          <cell r="H60" t="str">
            <v>资源中心-资源组</v>
          </cell>
        </row>
        <row r="61">
          <cell r="B61" t="str">
            <v>岳美静</v>
          </cell>
          <cell r="C61" t="str">
            <v>D000702</v>
          </cell>
          <cell r="D61" t="str">
            <v>正式</v>
          </cell>
          <cell r="E61" t="str">
            <v>大连</v>
          </cell>
          <cell r="F61" t="str">
            <v>税企服务中心</v>
          </cell>
          <cell r="G61" t="str">
            <v>赵昕国</v>
          </cell>
          <cell r="H61" t="str">
            <v>资源中心-资源组</v>
          </cell>
        </row>
        <row r="62">
          <cell r="B62" t="str">
            <v>田佳旭</v>
          </cell>
          <cell r="C62" t="str">
            <v>D000750</v>
          </cell>
          <cell r="D62" t="str">
            <v>正式</v>
          </cell>
          <cell r="E62" t="str">
            <v>大连</v>
          </cell>
          <cell r="F62" t="str">
            <v>税企服务中心</v>
          </cell>
          <cell r="G62" t="str">
            <v>赵昕国</v>
          </cell>
          <cell r="H62" t="str">
            <v>资源中心-资源组</v>
          </cell>
        </row>
        <row r="63">
          <cell r="B63" t="str">
            <v>马福闯</v>
          </cell>
          <cell r="C63" t="str">
            <v>D000755</v>
          </cell>
          <cell r="D63" t="str">
            <v>正式</v>
          </cell>
          <cell r="E63" t="str">
            <v>大连</v>
          </cell>
          <cell r="F63" t="str">
            <v>税企服务中心</v>
          </cell>
          <cell r="G63" t="str">
            <v>赵昕国</v>
          </cell>
          <cell r="H63" t="str">
            <v>资源中心-资源组</v>
          </cell>
        </row>
        <row r="64">
          <cell r="B64" t="str">
            <v>杨彬</v>
          </cell>
          <cell r="C64" t="str">
            <v>D000685</v>
          </cell>
          <cell r="D64" t="str">
            <v>正式</v>
          </cell>
          <cell r="E64" t="str">
            <v>深圳</v>
          </cell>
          <cell r="F64" t="str">
            <v>税企服务中心</v>
          </cell>
          <cell r="G64" t="str">
            <v>邹利军</v>
          </cell>
          <cell r="H64" t="str">
            <v>G端服务组</v>
          </cell>
        </row>
        <row r="65">
          <cell r="B65" t="str">
            <v>罗轶轩</v>
          </cell>
          <cell r="C65" t="str">
            <v>D000704</v>
          </cell>
          <cell r="D65" t="str">
            <v>正式</v>
          </cell>
          <cell r="E65" t="str">
            <v>北京</v>
          </cell>
          <cell r="F65" t="str">
            <v>税企服务中心</v>
          </cell>
          <cell r="G65" t="str">
            <v>邹利军</v>
          </cell>
          <cell r="H65" t="str">
            <v>G端服务组</v>
          </cell>
        </row>
        <row r="66">
          <cell r="B66" t="str">
            <v>程放</v>
          </cell>
          <cell r="C66" t="str">
            <v>D000708</v>
          </cell>
          <cell r="D66" t="str">
            <v>正式</v>
          </cell>
          <cell r="E66" t="str">
            <v>合肥</v>
          </cell>
          <cell r="F66" t="str">
            <v>税企服务中心</v>
          </cell>
          <cell r="G66" t="str">
            <v>邹利军</v>
          </cell>
          <cell r="H66" t="str">
            <v>G端服务组</v>
          </cell>
        </row>
        <row r="67">
          <cell r="B67" t="str">
            <v>毛志鹏</v>
          </cell>
          <cell r="C67" t="str">
            <v>D000029</v>
          </cell>
          <cell r="D67" t="str">
            <v>正式</v>
          </cell>
          <cell r="E67" t="str">
            <v>大连</v>
          </cell>
          <cell r="F67" t="str">
            <v>税企服务中心</v>
          </cell>
          <cell r="G67" t="str">
            <v>邹利军</v>
          </cell>
          <cell r="H67" t="str">
            <v>B端服务组</v>
          </cell>
        </row>
        <row r="68">
          <cell r="B68" t="str">
            <v>徐帅</v>
          </cell>
          <cell r="C68" t="str">
            <v>D000359</v>
          </cell>
          <cell r="D68" t="str">
            <v>正式</v>
          </cell>
          <cell r="E68" t="str">
            <v>大连</v>
          </cell>
          <cell r="F68" t="str">
            <v>税企服务中心</v>
          </cell>
          <cell r="G68" t="str">
            <v>邹利军</v>
          </cell>
          <cell r="H68" t="str">
            <v>G端服务组</v>
          </cell>
        </row>
        <row r="69">
          <cell r="B69" t="str">
            <v>牟嘉文</v>
          </cell>
          <cell r="C69" t="str">
            <v>D000477</v>
          </cell>
          <cell r="D69" t="str">
            <v>正式</v>
          </cell>
          <cell r="E69" t="str">
            <v>大连</v>
          </cell>
          <cell r="F69" t="str">
            <v>税企服务中心</v>
          </cell>
          <cell r="G69" t="str">
            <v>邹利军</v>
          </cell>
          <cell r="H69" t="str">
            <v>G端服务组</v>
          </cell>
        </row>
        <row r="70">
          <cell r="B70" t="str">
            <v>贾智博</v>
          </cell>
          <cell r="C70" t="str">
            <v>D000525</v>
          </cell>
          <cell r="D70" t="str">
            <v>正式</v>
          </cell>
          <cell r="E70" t="str">
            <v>大连</v>
          </cell>
          <cell r="F70" t="str">
            <v>税企服务中心</v>
          </cell>
          <cell r="G70" t="str">
            <v>邹利军</v>
          </cell>
          <cell r="H70" t="str">
            <v>G端服务组</v>
          </cell>
        </row>
        <row r="71">
          <cell r="B71" t="str">
            <v>杨磊</v>
          </cell>
          <cell r="C71" t="str">
            <v>D000636</v>
          </cell>
          <cell r="D71" t="str">
            <v>正式</v>
          </cell>
          <cell r="E71" t="str">
            <v>大连</v>
          </cell>
          <cell r="F71" t="str">
            <v>总经办</v>
          </cell>
          <cell r="G71" t="str">
            <v>赵昕国</v>
          </cell>
          <cell r="H71" t="str">
            <v>总经办</v>
          </cell>
        </row>
        <row r="72">
          <cell r="B72" t="str">
            <v>李井山</v>
          </cell>
          <cell r="C72" t="str">
            <v>D000099</v>
          </cell>
          <cell r="D72" t="str">
            <v>正式</v>
          </cell>
          <cell r="E72" t="str">
            <v>大连</v>
          </cell>
          <cell r="F72" t="str">
            <v>税企服务中心</v>
          </cell>
          <cell r="G72" t="str">
            <v>赵昕国</v>
          </cell>
          <cell r="H72" t="str">
            <v>资源中心-资源组</v>
          </cell>
        </row>
        <row r="73">
          <cell r="B73" t="str">
            <v>陈永志</v>
          </cell>
          <cell r="C73" t="str">
            <v>D000762</v>
          </cell>
          <cell r="D73" t="str">
            <v>正式</v>
          </cell>
          <cell r="E73" t="str">
            <v>云南</v>
          </cell>
          <cell r="F73" t="str">
            <v>税企服务中心</v>
          </cell>
          <cell r="G73" t="str">
            <v>邹利军</v>
          </cell>
          <cell r="H73" t="str">
            <v>G端服务组</v>
          </cell>
        </row>
        <row r="74">
          <cell r="B74" t="str">
            <v>何广</v>
          </cell>
          <cell r="C74" t="str">
            <v>D000761</v>
          </cell>
          <cell r="D74" t="str">
            <v>正式</v>
          </cell>
          <cell r="E74" t="str">
            <v>大连</v>
          </cell>
          <cell r="F74" t="str">
            <v>税企服务中心</v>
          </cell>
          <cell r="G74" t="str">
            <v>邹利军</v>
          </cell>
          <cell r="H74" t="str">
            <v>G端服务组</v>
          </cell>
        </row>
        <row r="75">
          <cell r="B75" t="str">
            <v>王连城</v>
          </cell>
          <cell r="C75" t="str">
            <v>D000781</v>
          </cell>
          <cell r="D75" t="str">
            <v>正式</v>
          </cell>
          <cell r="E75" t="str">
            <v>大连</v>
          </cell>
          <cell r="F75" t="str">
            <v>税企服务中心</v>
          </cell>
          <cell r="G75" t="str">
            <v>邹利军</v>
          </cell>
          <cell r="H75" t="str">
            <v>G端服务组</v>
          </cell>
        </row>
        <row r="76">
          <cell r="B76" t="str">
            <v>王旭</v>
          </cell>
          <cell r="C76" t="str">
            <v>D000785</v>
          </cell>
          <cell r="D76" t="str">
            <v>正式</v>
          </cell>
          <cell r="E76" t="str">
            <v>大连</v>
          </cell>
          <cell r="F76" t="str">
            <v>税企服务中心</v>
          </cell>
          <cell r="G76" t="str">
            <v>赵昕国</v>
          </cell>
          <cell r="H76" t="str">
            <v>资源中心-资源组</v>
          </cell>
        </row>
        <row r="77">
          <cell r="B77" t="str">
            <v>李净</v>
          </cell>
          <cell r="C77" t="str">
            <v>D000787</v>
          </cell>
          <cell r="D77" t="str">
            <v>正式</v>
          </cell>
          <cell r="E77" t="str">
            <v>大连</v>
          </cell>
          <cell r="F77" t="str">
            <v>税企服务中心</v>
          </cell>
          <cell r="G77" t="str">
            <v>赵昕国</v>
          </cell>
          <cell r="H77" t="str">
            <v>资源中心-资源组</v>
          </cell>
        </row>
        <row r="78">
          <cell r="B78" t="str">
            <v>任志远</v>
          </cell>
          <cell r="C78" t="str">
            <v>D000788</v>
          </cell>
          <cell r="D78" t="str">
            <v>正式</v>
          </cell>
          <cell r="E78" t="str">
            <v>大连</v>
          </cell>
          <cell r="F78" t="str">
            <v>税企服务中心</v>
          </cell>
          <cell r="G78" t="str">
            <v>赵昕国</v>
          </cell>
          <cell r="H78" t="str">
            <v>资源中心-资源组</v>
          </cell>
        </row>
        <row r="79">
          <cell r="B79" t="str">
            <v>张万松</v>
          </cell>
          <cell r="C79" t="str">
            <v>D000805</v>
          </cell>
          <cell r="D79" t="str">
            <v>正式</v>
          </cell>
          <cell r="E79" t="str">
            <v>武汉</v>
          </cell>
          <cell r="F79" t="str">
            <v>税企服务中心</v>
          </cell>
          <cell r="G79" t="str">
            <v>邹利军</v>
          </cell>
          <cell r="H79" t="str">
            <v>G端服务组</v>
          </cell>
        </row>
        <row r="80">
          <cell r="B80" t="str">
            <v>陈琳</v>
          </cell>
          <cell r="C80" t="str">
            <v>D000806</v>
          </cell>
          <cell r="D80" t="str">
            <v>正式</v>
          </cell>
          <cell r="E80" t="str">
            <v>大连</v>
          </cell>
          <cell r="F80" t="str">
            <v>税企服务中心</v>
          </cell>
          <cell r="G80" t="str">
            <v>邹利军</v>
          </cell>
          <cell r="H80" t="str">
            <v>B端服务组</v>
          </cell>
        </row>
        <row r="81">
          <cell r="B81" t="str">
            <v>李画</v>
          </cell>
          <cell r="C81" t="str">
            <v>D000807</v>
          </cell>
          <cell r="D81" t="str">
            <v>正式</v>
          </cell>
          <cell r="E81" t="str">
            <v>大连</v>
          </cell>
          <cell r="F81" t="str">
            <v>税企服务中心</v>
          </cell>
          <cell r="G81" t="str">
            <v>邹利军</v>
          </cell>
          <cell r="H81" t="str">
            <v>B端服务组</v>
          </cell>
        </row>
        <row r="82">
          <cell r="B82" t="str">
            <v>鞠琪</v>
          </cell>
          <cell r="C82" t="str">
            <v>D000808</v>
          </cell>
          <cell r="D82" t="str">
            <v>正式</v>
          </cell>
          <cell r="E82" t="str">
            <v>大连</v>
          </cell>
          <cell r="F82" t="str">
            <v>税企服务中心</v>
          </cell>
          <cell r="G82" t="str">
            <v>邹利军</v>
          </cell>
          <cell r="H82" t="str">
            <v>B端服务组</v>
          </cell>
        </row>
        <row r="83">
          <cell r="B83" t="str">
            <v>刘瑶</v>
          </cell>
          <cell r="C83" t="str">
            <v>D000809</v>
          </cell>
          <cell r="D83" t="str">
            <v>正式</v>
          </cell>
          <cell r="E83" t="str">
            <v>大连</v>
          </cell>
          <cell r="F83" t="str">
            <v>税企服务中心</v>
          </cell>
          <cell r="G83" t="str">
            <v>邹利军</v>
          </cell>
          <cell r="H83" t="str">
            <v>B端服务组</v>
          </cell>
        </row>
        <row r="84">
          <cell r="B84" t="str">
            <v>吕文文</v>
          </cell>
          <cell r="C84" t="str">
            <v>D000810</v>
          </cell>
          <cell r="D84" t="str">
            <v>正式</v>
          </cell>
          <cell r="E84" t="str">
            <v>大连</v>
          </cell>
          <cell r="F84" t="str">
            <v>税企服务中心</v>
          </cell>
          <cell r="G84" t="str">
            <v>邹利军</v>
          </cell>
          <cell r="H84" t="str">
            <v>B端服务组</v>
          </cell>
        </row>
        <row r="85">
          <cell r="B85" t="str">
            <v>宝佳</v>
          </cell>
          <cell r="C85" t="str">
            <v>D000811</v>
          </cell>
          <cell r="D85" t="str">
            <v>正式</v>
          </cell>
          <cell r="E85" t="str">
            <v>大连</v>
          </cell>
          <cell r="F85" t="str">
            <v>税企服务中心</v>
          </cell>
          <cell r="G85" t="str">
            <v>邹利军</v>
          </cell>
          <cell r="H85" t="str">
            <v>B端服务组</v>
          </cell>
        </row>
        <row r="86">
          <cell r="B86" t="str">
            <v>张琪</v>
          </cell>
          <cell r="C86" t="str">
            <v>D000812</v>
          </cell>
          <cell r="D86" t="str">
            <v>正式</v>
          </cell>
          <cell r="E86" t="str">
            <v>大连</v>
          </cell>
          <cell r="F86" t="str">
            <v>税企服务中心</v>
          </cell>
          <cell r="G86" t="str">
            <v>邹利军</v>
          </cell>
          <cell r="H86" t="str">
            <v>B端服务组</v>
          </cell>
        </row>
        <row r="87">
          <cell r="B87" t="str">
            <v>姜颖君</v>
          </cell>
          <cell r="C87" t="str">
            <v>D000813</v>
          </cell>
          <cell r="D87" t="str">
            <v>正式</v>
          </cell>
          <cell r="E87" t="str">
            <v>大连</v>
          </cell>
          <cell r="F87" t="str">
            <v>税企服务中心</v>
          </cell>
          <cell r="G87" t="str">
            <v>邹利军</v>
          </cell>
          <cell r="H87" t="str">
            <v>B端服务组</v>
          </cell>
        </row>
        <row r="88">
          <cell r="B88" t="str">
            <v>陈秋阳</v>
          </cell>
          <cell r="C88" t="str">
            <v>D000814</v>
          </cell>
          <cell r="D88" t="str">
            <v>正式</v>
          </cell>
          <cell r="E88" t="str">
            <v>大连</v>
          </cell>
          <cell r="F88" t="str">
            <v>税企服务中心</v>
          </cell>
          <cell r="G88" t="str">
            <v>邹利军</v>
          </cell>
          <cell r="H88" t="str">
            <v>B端服务组</v>
          </cell>
        </row>
        <row r="89">
          <cell r="B89" t="str">
            <v>刘国斌</v>
          </cell>
          <cell r="C89" t="str">
            <v>D000815</v>
          </cell>
          <cell r="D89" t="str">
            <v>正式</v>
          </cell>
          <cell r="E89" t="str">
            <v>大连</v>
          </cell>
          <cell r="F89" t="str">
            <v>税企服务中心</v>
          </cell>
          <cell r="G89" t="str">
            <v>邹利军</v>
          </cell>
          <cell r="H89" t="str">
            <v>B端服务组</v>
          </cell>
        </row>
        <row r="90">
          <cell r="B90" t="str">
            <v>张明超</v>
          </cell>
          <cell r="C90" t="str">
            <v>D000816</v>
          </cell>
          <cell r="D90" t="str">
            <v>正式</v>
          </cell>
          <cell r="E90" t="str">
            <v>大连</v>
          </cell>
          <cell r="F90" t="str">
            <v>税企服务中心</v>
          </cell>
          <cell r="G90" t="str">
            <v>邹利军</v>
          </cell>
          <cell r="H90" t="str">
            <v>B端服务组</v>
          </cell>
        </row>
        <row r="91">
          <cell r="B91" t="str">
            <v>刘雨鑫</v>
          </cell>
          <cell r="C91" t="str">
            <v>D000817</v>
          </cell>
          <cell r="D91" t="str">
            <v>正式</v>
          </cell>
          <cell r="E91" t="str">
            <v>大连</v>
          </cell>
          <cell r="F91" t="str">
            <v>税企服务中心</v>
          </cell>
          <cell r="G91" t="str">
            <v>邹利军</v>
          </cell>
          <cell r="H91" t="str">
            <v>B端服务组</v>
          </cell>
        </row>
        <row r="92">
          <cell r="B92" t="str">
            <v>单国枫</v>
          </cell>
          <cell r="C92" t="str">
            <v>D000818</v>
          </cell>
          <cell r="D92" t="str">
            <v>正式</v>
          </cell>
          <cell r="E92" t="str">
            <v>大连</v>
          </cell>
          <cell r="F92" t="str">
            <v>税企服务中心</v>
          </cell>
          <cell r="G92" t="str">
            <v>邹利军</v>
          </cell>
          <cell r="H92" t="str">
            <v>B端服务组</v>
          </cell>
        </row>
        <row r="93">
          <cell r="B93" t="str">
            <v>王春和</v>
          </cell>
          <cell r="C93" t="str">
            <v>D000836</v>
          </cell>
          <cell r="D93" t="str">
            <v>返聘</v>
          </cell>
          <cell r="E93" t="str">
            <v>大连</v>
          </cell>
          <cell r="F93" t="str">
            <v>总经办</v>
          </cell>
          <cell r="G93" t="str">
            <v>赵昕国</v>
          </cell>
          <cell r="H93" t="str">
            <v>总经办</v>
          </cell>
        </row>
        <row r="94">
          <cell r="B94" t="str">
            <v>江世议</v>
          </cell>
          <cell r="C94" t="str">
            <v>D000820</v>
          </cell>
          <cell r="D94" t="str">
            <v>试用</v>
          </cell>
          <cell r="E94" t="str">
            <v>大连</v>
          </cell>
          <cell r="F94" t="str">
            <v>税企服务中心</v>
          </cell>
          <cell r="G94" t="str">
            <v>邹利军</v>
          </cell>
          <cell r="H94" t="str">
            <v>G端服务组</v>
          </cell>
        </row>
        <row r="95">
          <cell r="B95" t="str">
            <v>隋靖</v>
          </cell>
          <cell r="C95" t="str">
            <v>D000821</v>
          </cell>
          <cell r="D95" t="str">
            <v>正式</v>
          </cell>
          <cell r="E95" t="str">
            <v>大连</v>
          </cell>
          <cell r="F95" t="str">
            <v>税企服务中心</v>
          </cell>
          <cell r="G95" t="str">
            <v>邹利军</v>
          </cell>
          <cell r="H95" t="str">
            <v>B端服务组</v>
          </cell>
        </row>
        <row r="96">
          <cell r="B96" t="str">
            <v>张思思</v>
          </cell>
          <cell r="C96" t="str">
            <v>D000822</v>
          </cell>
          <cell r="D96" t="str">
            <v>正式</v>
          </cell>
          <cell r="E96" t="str">
            <v>大连</v>
          </cell>
          <cell r="F96" t="str">
            <v>税企服务中心</v>
          </cell>
          <cell r="G96" t="str">
            <v>邹利军</v>
          </cell>
          <cell r="H96" t="str">
            <v>B端服务组</v>
          </cell>
        </row>
        <row r="97">
          <cell r="B97" t="str">
            <v>赵秋磊</v>
          </cell>
          <cell r="C97" t="str">
            <v>D000823</v>
          </cell>
          <cell r="D97" t="str">
            <v>正式</v>
          </cell>
          <cell r="E97" t="str">
            <v>大连</v>
          </cell>
          <cell r="F97" t="str">
            <v>税企服务中心</v>
          </cell>
          <cell r="G97" t="str">
            <v>邹利军</v>
          </cell>
          <cell r="H97" t="str">
            <v>B端服务组</v>
          </cell>
        </row>
        <row r="98">
          <cell r="B98" t="str">
            <v>李广旭</v>
          </cell>
          <cell r="C98" t="str">
            <v>D000824</v>
          </cell>
          <cell r="D98" t="str">
            <v>正式</v>
          </cell>
          <cell r="E98" t="str">
            <v>大连</v>
          </cell>
          <cell r="F98" t="str">
            <v>税企服务中心</v>
          </cell>
          <cell r="G98" t="str">
            <v>邹利军</v>
          </cell>
          <cell r="H98" t="str">
            <v>B端服务组</v>
          </cell>
        </row>
        <row r="99">
          <cell r="B99" t="str">
            <v>单博涵</v>
          </cell>
          <cell r="C99" t="str">
            <v>D000825</v>
          </cell>
          <cell r="D99" t="str">
            <v>正式</v>
          </cell>
          <cell r="E99" t="str">
            <v>大连</v>
          </cell>
          <cell r="F99" t="str">
            <v>税企服务中心</v>
          </cell>
          <cell r="G99" t="str">
            <v>邹利军</v>
          </cell>
          <cell r="H99" t="str">
            <v>B端服务组</v>
          </cell>
        </row>
        <row r="100">
          <cell r="B100" t="str">
            <v>杨雪</v>
          </cell>
          <cell r="C100" t="str">
            <v>D000826</v>
          </cell>
          <cell r="D100" t="str">
            <v>正式</v>
          </cell>
          <cell r="E100" t="str">
            <v>大连</v>
          </cell>
          <cell r="F100" t="str">
            <v>税企服务中心</v>
          </cell>
          <cell r="G100" t="str">
            <v>邹利军</v>
          </cell>
          <cell r="H100" t="str">
            <v>B端服务组</v>
          </cell>
        </row>
        <row r="101">
          <cell r="B101" t="str">
            <v>张晓东</v>
          </cell>
          <cell r="C101" t="str">
            <v>D000827</v>
          </cell>
          <cell r="D101" t="str">
            <v>正式</v>
          </cell>
          <cell r="E101" t="str">
            <v>大连</v>
          </cell>
          <cell r="F101" t="str">
            <v>税企服务中心</v>
          </cell>
          <cell r="G101" t="str">
            <v>邹利军</v>
          </cell>
          <cell r="H101" t="str">
            <v>B端服务组</v>
          </cell>
        </row>
        <row r="102">
          <cell r="B102" t="str">
            <v>董滢</v>
          </cell>
          <cell r="C102" t="str">
            <v>D000828</v>
          </cell>
          <cell r="D102" t="str">
            <v>正式</v>
          </cell>
          <cell r="E102" t="str">
            <v>大连</v>
          </cell>
          <cell r="F102" t="str">
            <v>税企服务中心</v>
          </cell>
          <cell r="G102" t="str">
            <v>赵昕国</v>
          </cell>
          <cell r="H102" t="str">
            <v>资源中心-资源组</v>
          </cell>
        </row>
        <row r="103">
          <cell r="B103" t="str">
            <v>孙家棣</v>
          </cell>
          <cell r="C103" t="str">
            <v>D000829</v>
          </cell>
          <cell r="D103" t="str">
            <v>正式</v>
          </cell>
          <cell r="E103" t="str">
            <v>大连</v>
          </cell>
          <cell r="F103" t="str">
            <v>税企服务中心</v>
          </cell>
          <cell r="G103" t="str">
            <v>邹利军</v>
          </cell>
          <cell r="H103" t="str">
            <v>B端服务组</v>
          </cell>
        </row>
        <row r="104">
          <cell r="B104" t="str">
            <v>张慧艳</v>
          </cell>
          <cell r="C104" t="str">
            <v>D000830</v>
          </cell>
          <cell r="D104" t="str">
            <v>正式</v>
          </cell>
          <cell r="E104" t="str">
            <v>大连</v>
          </cell>
          <cell r="F104" t="str">
            <v>税企服务中心</v>
          </cell>
          <cell r="G104" t="str">
            <v>赵昕国</v>
          </cell>
          <cell r="H104" t="str">
            <v>资源中心-资源组</v>
          </cell>
        </row>
        <row r="105">
          <cell r="B105" t="str">
            <v>周素娜</v>
          </cell>
          <cell r="C105" t="str">
            <v>D000831</v>
          </cell>
          <cell r="D105" t="str">
            <v>正式</v>
          </cell>
          <cell r="E105" t="str">
            <v>大连</v>
          </cell>
          <cell r="F105" t="str">
            <v>税企服务中心</v>
          </cell>
          <cell r="G105" t="str">
            <v>邹利军</v>
          </cell>
          <cell r="H105" t="str">
            <v>B端服务组</v>
          </cell>
        </row>
        <row r="106">
          <cell r="B106" t="str">
            <v>王欢</v>
          </cell>
          <cell r="C106" t="str">
            <v>D000832</v>
          </cell>
          <cell r="D106" t="str">
            <v>正式</v>
          </cell>
          <cell r="E106" t="str">
            <v>大连</v>
          </cell>
          <cell r="F106" t="str">
            <v>税企服务中心</v>
          </cell>
          <cell r="G106" t="str">
            <v>邹利军</v>
          </cell>
          <cell r="H106" t="str">
            <v>B端服务组</v>
          </cell>
        </row>
        <row r="107">
          <cell r="B107" t="str">
            <v>王海丽</v>
          </cell>
          <cell r="C107" t="str">
            <v>D000833</v>
          </cell>
          <cell r="D107" t="str">
            <v>正式</v>
          </cell>
          <cell r="E107" t="str">
            <v>大连</v>
          </cell>
          <cell r="F107" t="str">
            <v>税企服务中心</v>
          </cell>
          <cell r="G107" t="str">
            <v>邹利军</v>
          </cell>
          <cell r="H107" t="str">
            <v>B端服务组</v>
          </cell>
        </row>
        <row r="108">
          <cell r="B108" t="str">
            <v>陈建博</v>
          </cell>
          <cell r="C108" t="str">
            <v>D000834</v>
          </cell>
          <cell r="D108" t="str">
            <v>正式</v>
          </cell>
          <cell r="E108" t="str">
            <v>大连</v>
          </cell>
          <cell r="F108" t="str">
            <v>税企服务中心</v>
          </cell>
          <cell r="G108" t="str">
            <v>邹利军</v>
          </cell>
          <cell r="H108" t="str">
            <v>B端服务组</v>
          </cell>
        </row>
        <row r="109">
          <cell r="B109" t="str">
            <v>高文强</v>
          </cell>
          <cell r="C109" t="str">
            <v>D000835</v>
          </cell>
          <cell r="D109" t="str">
            <v>正式</v>
          </cell>
          <cell r="E109" t="str">
            <v>大连</v>
          </cell>
          <cell r="F109" t="str">
            <v>税企服务中心</v>
          </cell>
          <cell r="G109" t="str">
            <v>邹利军</v>
          </cell>
          <cell r="H109" t="str">
            <v>B端服务组</v>
          </cell>
        </row>
        <row r="110">
          <cell r="B110" t="str">
            <v>方应广</v>
          </cell>
          <cell r="C110" t="str">
            <v>D000836</v>
          </cell>
          <cell r="D110" t="str">
            <v>正式</v>
          </cell>
          <cell r="E110" t="str">
            <v>大连</v>
          </cell>
          <cell r="F110" t="str">
            <v>慧税云服</v>
          </cell>
          <cell r="G110" t="str">
            <v>郭占彪</v>
          </cell>
          <cell r="H110" t="str">
            <v>慧税学苑-产品研发组</v>
          </cell>
        </row>
        <row r="111">
          <cell r="B111" t="str">
            <v>刘天明</v>
          </cell>
          <cell r="C111" t="str">
            <v>D000837</v>
          </cell>
          <cell r="D111" t="str">
            <v>正式</v>
          </cell>
          <cell r="E111" t="str">
            <v>大连</v>
          </cell>
          <cell r="F111" t="str">
            <v>慧税云服</v>
          </cell>
          <cell r="G111" t="str">
            <v>郭占彪</v>
          </cell>
          <cell r="H111" t="str">
            <v>慧税学苑-产品研发组</v>
          </cell>
        </row>
        <row r="112">
          <cell r="B112" t="str">
            <v>郝军</v>
          </cell>
          <cell r="C112" t="str">
            <v>D000838</v>
          </cell>
          <cell r="D112" t="str">
            <v>正式</v>
          </cell>
          <cell r="E112" t="str">
            <v>大连</v>
          </cell>
          <cell r="F112" t="str">
            <v>慧税云服</v>
          </cell>
          <cell r="G112" t="str">
            <v>郭占彪</v>
          </cell>
          <cell r="H112" t="str">
            <v>慧税学苑-产品研发组</v>
          </cell>
        </row>
        <row r="113">
          <cell r="B113" t="str">
            <v>张传林</v>
          </cell>
          <cell r="C113" t="str">
            <v>D000839</v>
          </cell>
          <cell r="D113" t="str">
            <v>正式</v>
          </cell>
          <cell r="E113" t="str">
            <v>大连</v>
          </cell>
          <cell r="F113" t="str">
            <v>慧税云服</v>
          </cell>
          <cell r="G113" t="str">
            <v>郭占彪</v>
          </cell>
          <cell r="H113" t="str">
            <v>慧税学苑-产品研发组</v>
          </cell>
        </row>
        <row r="114">
          <cell r="B114" t="str">
            <v>孙轶</v>
          </cell>
          <cell r="C114" t="str">
            <v>D80006</v>
          </cell>
          <cell r="D114" t="str">
            <v>正式</v>
          </cell>
          <cell r="E114" t="str">
            <v>大连</v>
          </cell>
          <cell r="F114" t="str">
            <v>慧税云服</v>
          </cell>
          <cell r="G114" t="str">
            <v>郭占彪</v>
          </cell>
          <cell r="H114" t="str">
            <v>慧税学苑-教研组</v>
          </cell>
        </row>
        <row r="115">
          <cell r="B115" t="str">
            <v>王小玢</v>
          </cell>
          <cell r="C115" t="str">
            <v>D80019</v>
          </cell>
          <cell r="D115" t="str">
            <v>正式</v>
          </cell>
          <cell r="E115" t="str">
            <v>大连</v>
          </cell>
          <cell r="F115" t="str">
            <v>慧税云服</v>
          </cell>
          <cell r="G115" t="str">
            <v>郭占彪</v>
          </cell>
          <cell r="H115" t="str">
            <v>慧税学苑-教研组</v>
          </cell>
        </row>
        <row r="116">
          <cell r="B116" t="str">
            <v>李婷</v>
          </cell>
          <cell r="C116" t="str">
            <v>D80022</v>
          </cell>
          <cell r="D116" t="str">
            <v>正式</v>
          </cell>
          <cell r="E116" t="str">
            <v>大连</v>
          </cell>
          <cell r="F116" t="str">
            <v>慧税云服</v>
          </cell>
          <cell r="G116" t="str">
            <v>郭占彪</v>
          </cell>
          <cell r="H116" t="str">
            <v>慧税学苑-教研组</v>
          </cell>
        </row>
        <row r="117">
          <cell r="B117" t="str">
            <v>高飞</v>
          </cell>
          <cell r="C117" t="str">
            <v>D80051</v>
          </cell>
          <cell r="D117" t="str">
            <v>正式</v>
          </cell>
          <cell r="E117" t="str">
            <v>大连</v>
          </cell>
          <cell r="F117" t="str">
            <v>慧税云服</v>
          </cell>
          <cell r="G117" t="str">
            <v>郭占彪</v>
          </cell>
          <cell r="H117" t="str">
            <v>慧税学苑-教研组</v>
          </cell>
        </row>
        <row r="118">
          <cell r="B118" t="str">
            <v>郭占彪</v>
          </cell>
          <cell r="C118" t="str">
            <v>D80102</v>
          </cell>
          <cell r="D118" t="str">
            <v>正式</v>
          </cell>
          <cell r="E118" t="str">
            <v>大连</v>
          </cell>
          <cell r="F118" t="str">
            <v>慧税云服</v>
          </cell>
          <cell r="G118" t="str">
            <v>郭占彪</v>
          </cell>
          <cell r="H118" t="str">
            <v>慧税学苑</v>
          </cell>
        </row>
        <row r="119">
          <cell r="B119" t="str">
            <v>焦铄然</v>
          </cell>
          <cell r="C119" t="str">
            <v>D80108</v>
          </cell>
          <cell r="D119" t="str">
            <v>正式</v>
          </cell>
          <cell r="E119" t="str">
            <v>大连</v>
          </cell>
          <cell r="F119" t="str">
            <v>慧税云服</v>
          </cell>
          <cell r="G119" t="str">
            <v>郭占彪</v>
          </cell>
          <cell r="H119" t="str">
            <v>慧税学苑-产品研发组</v>
          </cell>
        </row>
        <row r="120">
          <cell r="B120" t="str">
            <v>孙健</v>
          </cell>
          <cell r="C120" t="str">
            <v>D80110</v>
          </cell>
          <cell r="D120" t="str">
            <v>正式</v>
          </cell>
          <cell r="E120" t="str">
            <v>大连</v>
          </cell>
          <cell r="F120" t="str">
            <v>慧税云服</v>
          </cell>
          <cell r="G120" t="str">
            <v>郭占彪</v>
          </cell>
          <cell r="H120" t="str">
            <v>慧税学苑-运营组</v>
          </cell>
        </row>
        <row r="121">
          <cell r="B121" t="str">
            <v>陈芊彤</v>
          </cell>
          <cell r="C121" t="str">
            <v>D80112</v>
          </cell>
          <cell r="D121" t="str">
            <v>正式</v>
          </cell>
          <cell r="E121" t="str">
            <v>大连</v>
          </cell>
          <cell r="F121" t="str">
            <v>慧税云服</v>
          </cell>
          <cell r="G121" t="str">
            <v>郭占彪</v>
          </cell>
          <cell r="H121" t="str">
            <v>慧税学苑-运营组</v>
          </cell>
        </row>
        <row r="122">
          <cell r="B122" t="str">
            <v>郭妍</v>
          </cell>
          <cell r="C122" t="str">
            <v>D80113</v>
          </cell>
          <cell r="D122" t="str">
            <v>正式</v>
          </cell>
          <cell r="E122" t="str">
            <v>大连</v>
          </cell>
          <cell r="F122" t="str">
            <v>慧税云服</v>
          </cell>
          <cell r="G122" t="str">
            <v>郭占彪</v>
          </cell>
          <cell r="H122" t="str">
            <v>慧税学苑-品牌组</v>
          </cell>
        </row>
        <row r="123">
          <cell r="B123" t="str">
            <v>李艳婷</v>
          </cell>
          <cell r="C123" t="str">
            <v>D80134</v>
          </cell>
          <cell r="D123" t="str">
            <v>正式</v>
          </cell>
          <cell r="E123" t="str">
            <v>大连</v>
          </cell>
          <cell r="F123" t="str">
            <v>慧税云服</v>
          </cell>
          <cell r="G123" t="str">
            <v>郭占彪</v>
          </cell>
          <cell r="H123" t="str">
            <v>慧税学苑-教研组</v>
          </cell>
        </row>
        <row r="124">
          <cell r="B124" t="str">
            <v>袁也</v>
          </cell>
          <cell r="C124" t="str">
            <v>D80139</v>
          </cell>
          <cell r="D124" t="str">
            <v>正式</v>
          </cell>
          <cell r="E124" t="str">
            <v>大连</v>
          </cell>
          <cell r="F124" t="str">
            <v>慧税云服</v>
          </cell>
          <cell r="G124" t="str">
            <v>郭占彪</v>
          </cell>
          <cell r="H124" t="str">
            <v>慧税学苑-教研组</v>
          </cell>
        </row>
        <row r="125">
          <cell r="B125" t="str">
            <v>林晶</v>
          </cell>
          <cell r="C125" t="str">
            <v>D80149</v>
          </cell>
          <cell r="D125" t="str">
            <v>正式</v>
          </cell>
          <cell r="E125" t="str">
            <v>大连</v>
          </cell>
          <cell r="F125" t="str">
            <v>慧税云服</v>
          </cell>
          <cell r="G125" t="str">
            <v>郭占彪</v>
          </cell>
          <cell r="H125" t="str">
            <v>慧税学苑-教研组</v>
          </cell>
        </row>
        <row r="126">
          <cell r="B126" t="str">
            <v>姜杉杉</v>
          </cell>
          <cell r="C126" t="str">
            <v>D80152</v>
          </cell>
          <cell r="D126" t="str">
            <v>正式</v>
          </cell>
          <cell r="E126" t="str">
            <v>大连</v>
          </cell>
          <cell r="F126" t="str">
            <v>慧税云服</v>
          </cell>
          <cell r="G126" t="str">
            <v>郭占彪</v>
          </cell>
          <cell r="H126" t="str">
            <v>慧税学苑-品牌组</v>
          </cell>
        </row>
        <row r="127">
          <cell r="B127" t="str">
            <v>任洛婷</v>
          </cell>
          <cell r="C127" t="str">
            <v>D80153</v>
          </cell>
          <cell r="D127" t="str">
            <v>正式</v>
          </cell>
          <cell r="E127" t="str">
            <v>大连</v>
          </cell>
          <cell r="F127" t="str">
            <v>慧税云服</v>
          </cell>
          <cell r="G127" t="str">
            <v>郭占彪</v>
          </cell>
          <cell r="H127" t="str">
            <v>慧税学苑-教研组</v>
          </cell>
        </row>
        <row r="128">
          <cell r="B128" t="str">
            <v>郝帅</v>
          </cell>
          <cell r="C128" t="str">
            <v>D80157</v>
          </cell>
          <cell r="D128" t="str">
            <v>正式</v>
          </cell>
          <cell r="E128" t="str">
            <v>大连</v>
          </cell>
          <cell r="F128" t="str">
            <v>慧税云服</v>
          </cell>
          <cell r="G128" t="str">
            <v>郭占彪</v>
          </cell>
          <cell r="H128" t="str">
            <v>慧税学苑-产品研发组</v>
          </cell>
        </row>
        <row r="129">
          <cell r="B129" t="str">
            <v>徐友</v>
          </cell>
          <cell r="C129" t="str">
            <v>D80163</v>
          </cell>
          <cell r="D129" t="str">
            <v>正式</v>
          </cell>
          <cell r="E129" t="str">
            <v>大连</v>
          </cell>
          <cell r="F129" t="str">
            <v>慧税云服</v>
          </cell>
          <cell r="G129" t="str">
            <v>郭占彪</v>
          </cell>
          <cell r="H129" t="str">
            <v>慧税学苑-产品研发组</v>
          </cell>
        </row>
        <row r="130">
          <cell r="B130" t="str">
            <v>鲁继铎</v>
          </cell>
          <cell r="C130" t="str">
            <v>D80164</v>
          </cell>
          <cell r="D130" t="str">
            <v>正式</v>
          </cell>
          <cell r="E130" t="str">
            <v>大连</v>
          </cell>
          <cell r="F130" t="str">
            <v>慧税云服</v>
          </cell>
          <cell r="G130" t="str">
            <v>郭占彪</v>
          </cell>
          <cell r="H130" t="str">
            <v>慧税学苑-产品研发组</v>
          </cell>
        </row>
        <row r="131">
          <cell r="B131" t="str">
            <v>杨广旭</v>
          </cell>
          <cell r="C131" t="str">
            <v>D80169</v>
          </cell>
          <cell r="D131" t="str">
            <v>正式</v>
          </cell>
          <cell r="E131" t="str">
            <v>大连</v>
          </cell>
          <cell r="F131" t="str">
            <v>慧税云服</v>
          </cell>
          <cell r="G131" t="str">
            <v>郭占彪</v>
          </cell>
          <cell r="H131" t="str">
            <v>慧税学苑-产品研发组</v>
          </cell>
        </row>
        <row r="132">
          <cell r="B132" t="str">
            <v>孙文静</v>
          </cell>
          <cell r="C132" t="str">
            <v>D80171</v>
          </cell>
          <cell r="D132" t="str">
            <v>正式</v>
          </cell>
          <cell r="E132" t="str">
            <v>大连</v>
          </cell>
          <cell r="F132" t="str">
            <v>慧税云服</v>
          </cell>
          <cell r="G132" t="str">
            <v>郭占彪</v>
          </cell>
          <cell r="H132" t="str">
            <v>慧税学苑-教研组</v>
          </cell>
        </row>
        <row r="133">
          <cell r="B133" t="str">
            <v>赵玲玲</v>
          </cell>
          <cell r="C133" t="str">
            <v>D80175</v>
          </cell>
          <cell r="D133" t="str">
            <v>试用</v>
          </cell>
          <cell r="E133" t="str">
            <v>大连</v>
          </cell>
          <cell r="F133" t="str">
            <v>慧税云服</v>
          </cell>
          <cell r="G133" t="str">
            <v>郭占彪</v>
          </cell>
          <cell r="H133" t="str">
            <v>慧税学苑-教研组</v>
          </cell>
        </row>
        <row r="134">
          <cell r="B134" t="str">
            <v>张爽</v>
          </cell>
          <cell r="C134" t="str">
            <v>T80177</v>
          </cell>
          <cell r="D134" t="str">
            <v>实习</v>
          </cell>
          <cell r="E134" t="str">
            <v>大连</v>
          </cell>
          <cell r="F134" t="str">
            <v>慧税云服</v>
          </cell>
          <cell r="G134" t="str">
            <v>郭占彪</v>
          </cell>
          <cell r="H134" t="str">
            <v>慧税学苑-产品研发组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5783.62097048611" createdVersion="8" refreshedVersion="8" minRefreshableVersion="3" recordCount="46" xr:uid="{A6C09A87-64BC-46AC-8CF0-8228CB5184B6}">
  <cacheSource type="worksheet">
    <worksheetSource ref="A2:H48" sheet="4月加班排序表 "/>
  </cacheSource>
  <cacheFields count="8">
    <cacheField name="序号" numFmtId="0">
      <sharedItems containsSemiMixedTypes="0" containsString="0" containsNumber="1" containsInteger="1" minValue="1" maxValue="46"/>
    </cacheField>
    <cacheField name="员工姓名" numFmtId="0">
      <sharedItems/>
    </cacheField>
    <cacheField name="BU名称" numFmtId="0">
      <sharedItems/>
    </cacheField>
    <cacheField name="项目组" numFmtId="0">
      <sharedItems count="10">
        <s v="慧税学苑-产品研发组"/>
        <s v="慧税学苑-教研组"/>
        <s v="B端服务组"/>
        <s v="资源中心-资源组"/>
        <s v="G端服务组"/>
        <s v="慧税学苑-运营组"/>
        <s v="人力资源&amp;行政部"/>
        <s v="慧税学苑-品牌组"/>
        <s v="商务法务部"/>
        <s v="资源中心-架构组"/>
      </sharedItems>
    </cacheField>
    <cacheField name="加班总小时数" numFmtId="176">
      <sharedItems containsSemiMixedTypes="0" containsNonDate="0" containsDate="1" containsString="0" minDate="1899-12-30T01:00:00" maxDate="1899-12-31T01:24:00"/>
    </cacheField>
    <cacheField name="加班总频次" numFmtId="0">
      <sharedItems containsSemiMixedTypes="0" containsString="0" containsNumber="1" containsInteger="1" minValue="1" maxValue="16"/>
    </cacheField>
    <cacheField name="平均单频加班小时数" numFmtId="176">
      <sharedItems containsSemiMixedTypes="0" containsNonDate="0" containsDate="1" containsString="0" minDate="1899-12-30T01:00:00" maxDate="1899-12-30T05:07:00"/>
    </cacheField>
    <cacheField name="备注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n v="1"/>
    <s v="郝帅"/>
    <s v="慧税云服"/>
    <x v="0"/>
    <d v="1899-12-31T01:24:00"/>
    <n v="15"/>
    <d v="1899-12-30T01:41:36"/>
    <m/>
  </r>
  <r>
    <n v="2"/>
    <s v="刘天明"/>
    <s v="慧税云服"/>
    <x v="0"/>
    <d v="1899-12-31T01:15:00"/>
    <n v="15"/>
    <d v="1899-12-30T01:41:00"/>
    <m/>
  </r>
  <r>
    <n v="3"/>
    <s v="李艳婷"/>
    <s v="慧税云服"/>
    <x v="1"/>
    <d v="1899-12-31T01:04:00"/>
    <n v="12"/>
    <d v="1899-12-30T02:05:20"/>
    <m/>
  </r>
  <r>
    <n v="4"/>
    <s v="张传林"/>
    <s v="慧税云服"/>
    <x v="0"/>
    <d v="1899-12-31T00:04:00"/>
    <n v="14"/>
    <d v="1899-12-30T01:43:09"/>
    <m/>
  </r>
  <r>
    <n v="5"/>
    <s v="郝军"/>
    <s v="慧税云服"/>
    <x v="0"/>
    <d v="1899-12-30T22:03:00"/>
    <n v="14"/>
    <d v="1899-12-30T01:34:30"/>
    <m/>
  </r>
  <r>
    <n v="6"/>
    <s v="陈秋阳"/>
    <s v="税企服务中心"/>
    <x v="2"/>
    <d v="1899-12-30T19:59:00"/>
    <n v="16"/>
    <d v="1899-12-30T01:14:56"/>
    <m/>
  </r>
  <r>
    <n v="7"/>
    <s v="钟新宇"/>
    <s v="慧税云服"/>
    <x v="0"/>
    <d v="1899-12-30T19:47:00"/>
    <n v="13"/>
    <d v="1899-12-30T01:31:18"/>
    <m/>
  </r>
  <r>
    <n v="8"/>
    <s v="徐友"/>
    <s v="慧税云服"/>
    <x v="0"/>
    <d v="1899-12-30T19:44:00"/>
    <n v="13"/>
    <d v="1899-12-30T01:31:05"/>
    <m/>
  </r>
  <r>
    <n v="9"/>
    <s v="张思思"/>
    <s v="税企服务中心"/>
    <x v="2"/>
    <d v="1899-12-30T18:02:00"/>
    <n v="10"/>
    <d v="1899-12-30T01:48:12"/>
    <m/>
  </r>
  <r>
    <n v="10"/>
    <s v="张权中"/>
    <s v="慧税云服"/>
    <x v="0"/>
    <d v="1899-12-30T15:42:00"/>
    <n v="10"/>
    <d v="1899-12-30T01:34:12"/>
    <m/>
  </r>
  <r>
    <n v="11"/>
    <s v="方应广"/>
    <s v="慧税云服"/>
    <x v="0"/>
    <d v="1899-12-30T14:28:00"/>
    <n v="7"/>
    <d v="1899-12-30T02:04:00"/>
    <m/>
  </r>
  <r>
    <n v="12"/>
    <s v="巩锡莹"/>
    <s v="税企服务中心"/>
    <x v="3"/>
    <d v="1899-12-30T12:25:00"/>
    <n v="8"/>
    <d v="1899-12-30T01:33:07"/>
    <m/>
  </r>
  <r>
    <n v="13"/>
    <s v="赵秋磊"/>
    <s v="税企服务中心"/>
    <x v="2"/>
    <d v="1899-12-30T11:39:00"/>
    <n v="11"/>
    <d v="1899-12-30T01:03:33"/>
    <m/>
  </r>
  <r>
    <n v="14"/>
    <s v="鲁继铎"/>
    <s v="慧税云服"/>
    <x v="0"/>
    <d v="1899-12-30T11:13:00"/>
    <n v="8"/>
    <d v="1899-12-30T01:24:08"/>
    <m/>
  </r>
  <r>
    <n v="15"/>
    <s v="王连城"/>
    <s v="税企服务中心"/>
    <x v="4"/>
    <d v="1899-12-30T10:14:00"/>
    <n v="2"/>
    <d v="1899-12-30T05:07:00"/>
    <m/>
  </r>
  <r>
    <n v="16"/>
    <s v="牟嘉文"/>
    <s v="税企服务中心"/>
    <x v="4"/>
    <d v="1899-12-30T10:00:00"/>
    <n v="4"/>
    <d v="1899-12-30T02:30:00"/>
    <m/>
  </r>
  <r>
    <n v="17"/>
    <s v="李冬阳"/>
    <s v="税企服务中心"/>
    <x v="3"/>
    <d v="1899-12-30T08:35:00"/>
    <n v="5"/>
    <d v="1899-12-30T01:43:00"/>
    <m/>
  </r>
  <r>
    <n v="18"/>
    <s v="姜起波"/>
    <s v="税企服务中心"/>
    <x v="2"/>
    <d v="1899-12-30T08:01:00"/>
    <n v="2"/>
    <d v="1899-12-30T04:00:30"/>
    <m/>
  </r>
  <r>
    <n v="19"/>
    <s v="焦铄然"/>
    <s v="慧税云服"/>
    <x v="0"/>
    <d v="1899-12-30T07:24:00"/>
    <n v="5"/>
    <d v="1899-12-30T01:28:48"/>
    <m/>
  </r>
  <r>
    <n v="20"/>
    <s v="孙健"/>
    <s v="慧税云服"/>
    <x v="5"/>
    <d v="1899-12-30T05:32:00"/>
    <n v="2"/>
    <d v="1899-12-30T02:46:00"/>
    <m/>
  </r>
  <r>
    <n v="21"/>
    <s v="宝佳"/>
    <s v="税企服务中心"/>
    <x v="2"/>
    <d v="1899-12-30T05:19:00"/>
    <n v="3"/>
    <d v="1899-12-30T01:46:20"/>
    <m/>
  </r>
  <r>
    <n v="22"/>
    <s v="张万松"/>
    <s v="税企服务中心"/>
    <x v="4"/>
    <d v="1899-12-30T04:03:00"/>
    <n v="1"/>
    <d v="1899-12-30T04:03:00"/>
    <m/>
  </r>
  <r>
    <n v="23"/>
    <s v="姜颖君"/>
    <s v="税企服务中心"/>
    <x v="2"/>
    <d v="1899-12-30T03:57:00"/>
    <n v="2"/>
    <d v="1899-12-30T01:58:30"/>
    <m/>
  </r>
  <r>
    <n v="24"/>
    <s v="张慧艳"/>
    <s v="税企服务中心"/>
    <x v="3"/>
    <d v="1899-12-30T03:54:00"/>
    <n v="2"/>
    <d v="1899-12-30T01:57:00"/>
    <m/>
  </r>
  <r>
    <n v="25"/>
    <s v="祝泓旭"/>
    <s v="税企服务中心"/>
    <x v="4"/>
    <d v="1899-12-30T03:53:00"/>
    <n v="3"/>
    <d v="1899-12-30T01:17:40"/>
    <m/>
  </r>
  <r>
    <n v="26"/>
    <s v="李青"/>
    <s v="慧税云服"/>
    <x v="0"/>
    <d v="1899-12-30T03:39:00"/>
    <n v="3"/>
    <d v="1899-12-30T01:13:00"/>
    <m/>
  </r>
  <r>
    <n v="27"/>
    <s v="王菲"/>
    <s v="人力资源&amp;行政部"/>
    <x v="6"/>
    <d v="1899-12-30T03:38:00"/>
    <n v="2"/>
    <d v="1899-12-30T01:49:00"/>
    <m/>
  </r>
  <r>
    <n v="28"/>
    <s v="杨彬"/>
    <s v="税企服务中心"/>
    <x v="4"/>
    <d v="1899-12-30T03:35:00"/>
    <n v="2"/>
    <d v="1899-12-30T01:47:30"/>
    <m/>
  </r>
  <r>
    <n v="29"/>
    <s v="王佰超"/>
    <s v="税企服务中心"/>
    <x v="2"/>
    <d v="1899-12-30T03:31:00"/>
    <n v="1"/>
    <d v="1899-12-30T03:31:00"/>
    <m/>
  </r>
  <r>
    <n v="30"/>
    <s v="杨雪"/>
    <s v="税企服务中心"/>
    <x v="2"/>
    <d v="1899-12-30T03:28:00"/>
    <n v="3"/>
    <d v="1899-12-30T01:09:20"/>
    <m/>
  </r>
  <r>
    <n v="31"/>
    <s v="宋昭成"/>
    <s v="税企服务中心"/>
    <x v="2"/>
    <d v="1899-12-30T03:25:00"/>
    <n v="1"/>
    <d v="1899-12-30T03:25:00"/>
    <m/>
  </r>
  <r>
    <n v="32"/>
    <s v="毛志鹏"/>
    <s v="税企服务中心"/>
    <x v="2"/>
    <d v="1899-12-30T03:24:00"/>
    <n v="1"/>
    <d v="1899-12-30T03:24:00"/>
    <m/>
  </r>
  <r>
    <n v="33"/>
    <s v="郭妍"/>
    <s v="慧税云服"/>
    <x v="7"/>
    <d v="1899-12-30T03:22:00"/>
    <n v="2"/>
    <d v="1899-12-30T01:41:00"/>
    <m/>
  </r>
  <r>
    <n v="34"/>
    <s v="鞠琪"/>
    <s v="税企服务中心"/>
    <x v="2"/>
    <d v="1899-12-30T03:03:00"/>
    <n v="2"/>
    <d v="1899-12-30T01:31:30"/>
    <m/>
  </r>
  <r>
    <n v="35"/>
    <s v="张德强"/>
    <s v="税企服务中心"/>
    <x v="4"/>
    <d v="1899-12-30T02:38:00"/>
    <n v="1"/>
    <d v="1899-12-30T02:38:00"/>
    <m/>
  </r>
  <r>
    <n v="36"/>
    <s v="李超"/>
    <s v="商务法务部"/>
    <x v="8"/>
    <d v="1899-12-30T02:17:00"/>
    <n v="1"/>
    <d v="1899-12-30T02:17:00"/>
    <m/>
  </r>
  <r>
    <n v="37"/>
    <s v="单博涵"/>
    <s v="税企服务中心"/>
    <x v="2"/>
    <d v="1899-12-30T01:34:00"/>
    <n v="1"/>
    <d v="1899-12-30T01:34:00"/>
    <m/>
  </r>
  <r>
    <n v="38"/>
    <s v="郑婕"/>
    <s v="税企服务中心"/>
    <x v="3"/>
    <d v="1899-12-30T01:34:00"/>
    <n v="1"/>
    <d v="1899-12-30T01:34:00"/>
    <m/>
  </r>
  <r>
    <n v="39"/>
    <s v="王小玢"/>
    <s v="慧税云服"/>
    <x v="1"/>
    <d v="1899-12-30T01:27:00"/>
    <n v="1"/>
    <d v="1899-12-30T01:27:00"/>
    <m/>
  </r>
  <r>
    <n v="40"/>
    <s v="单国枫"/>
    <s v="税企服务中心"/>
    <x v="2"/>
    <d v="1899-12-30T01:22:00"/>
    <n v="1"/>
    <d v="1899-12-30T01:22:00"/>
    <m/>
  </r>
  <r>
    <n v="41"/>
    <s v="蒋文武"/>
    <s v="税企服务中心"/>
    <x v="9"/>
    <d v="1899-12-30T01:15:00"/>
    <n v="1"/>
    <d v="1899-12-30T01:15:00"/>
    <m/>
  </r>
  <r>
    <n v="42"/>
    <s v="陈芊彤"/>
    <s v="慧税云服"/>
    <x v="5"/>
    <d v="1899-12-30T01:11:00"/>
    <n v="1"/>
    <d v="1899-12-30T01:11:00"/>
    <m/>
  </r>
  <r>
    <n v="43"/>
    <s v="张晓东"/>
    <s v="税企服务中心"/>
    <x v="2"/>
    <d v="1899-12-30T01:07:00"/>
    <n v="1"/>
    <d v="1899-12-30T01:07:00"/>
    <m/>
  </r>
  <r>
    <n v="44"/>
    <s v="贾智博"/>
    <s v="税企服务中心"/>
    <x v="4"/>
    <d v="1899-12-30T01:02:00"/>
    <n v="1"/>
    <d v="1899-12-30T01:02:00"/>
    <m/>
  </r>
  <r>
    <n v="45"/>
    <s v="付荣廷"/>
    <s v="税企服务中心"/>
    <x v="3"/>
    <d v="1899-12-30T01:00:00"/>
    <n v="1"/>
    <d v="1899-12-30T01:00:00"/>
    <m/>
  </r>
  <r>
    <n v="46"/>
    <s v="刘瑶"/>
    <s v="税企服务中心"/>
    <x v="2"/>
    <d v="1899-12-30T01:00:00"/>
    <n v="1"/>
    <d v="1899-12-30T01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E9BA41-026F-4991-B894-73C8CFCDE1F0}" name="数据透视表4" cacheId="6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multipleFieldFilters="0">
  <location ref="J3:K14" firstHeaderRow="1" firstDataRow="1" firstDataCol="1"/>
  <pivotFields count="8">
    <pivotField showAll="0"/>
    <pivotField showAll="0"/>
    <pivotField showAll="0"/>
    <pivotField axis="axisRow" showAll="0">
      <items count="11">
        <item x="2"/>
        <item x="4"/>
        <item x="0"/>
        <item x="1"/>
        <item x="7"/>
        <item x="5"/>
        <item x="6"/>
        <item x="8"/>
        <item x="9"/>
        <item x="3"/>
        <item t="default"/>
      </items>
    </pivotField>
    <pivotField dataField="1" numFmtId="176" showAll="0"/>
    <pivotField showAll="0"/>
    <pivotField numFmtId="176"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求和项:加班总小时数" fld="4" baseField="3" baseItem="0" numFmtId="176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FD2F-64A6-45A9-A80C-90DD813822D1}">
  <sheetPr>
    <tabColor rgb="FFFF0000"/>
  </sheetPr>
  <dimension ref="A1:AT68"/>
  <sheetViews>
    <sheetView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R1"/>
    </sheetView>
  </sheetViews>
  <sheetFormatPr defaultColWidth="22.875" defaultRowHeight="16.5" customHeight="1" x14ac:dyDescent="0.3"/>
  <cols>
    <col min="1" max="1" width="22.875" style="2"/>
    <col min="2" max="2" width="22.875" style="34"/>
    <col min="3" max="3" width="22.875" style="18"/>
    <col min="4" max="4" width="22.875" style="19"/>
    <col min="5" max="6" width="22.875" style="18"/>
    <col min="7" max="8" width="22.875" style="19"/>
    <col min="9" max="9" width="22.875" style="18"/>
    <col min="10" max="11" width="22.875" style="19"/>
    <col min="12" max="12" width="22.875" style="18"/>
    <col min="13" max="14" width="22.875" style="19"/>
    <col min="15" max="15" width="22.875" style="18"/>
    <col min="16" max="17" width="22.875" style="19"/>
    <col min="18" max="18" width="22.875" style="18"/>
    <col min="19" max="19" width="22.875" style="2"/>
    <col min="20" max="20" width="22.875" style="29"/>
    <col min="21" max="16384" width="22.875" style="2"/>
  </cols>
  <sheetData>
    <row r="1" spans="1:46" ht="30" customHeight="1" x14ac:dyDescent="0.3">
      <c r="A1" s="48" t="s">
        <v>122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8" customHeight="1" x14ac:dyDescent="0.3">
      <c r="A2" s="49" t="s">
        <v>0</v>
      </c>
      <c r="B2" s="51" t="s">
        <v>1</v>
      </c>
      <c r="C2" s="53" t="s">
        <v>125</v>
      </c>
      <c r="D2" s="55" t="s">
        <v>126</v>
      </c>
      <c r="E2" s="57" t="s">
        <v>127</v>
      </c>
      <c r="F2" s="59" t="s">
        <v>5</v>
      </c>
      <c r="G2" s="60"/>
      <c r="H2" s="61"/>
      <c r="I2" s="62" t="s">
        <v>6</v>
      </c>
      <c r="J2" s="63"/>
      <c r="K2" s="64"/>
      <c r="L2" s="59" t="s">
        <v>73</v>
      </c>
      <c r="M2" s="60"/>
      <c r="N2" s="61"/>
      <c r="O2" s="62" t="s">
        <v>128</v>
      </c>
      <c r="P2" s="63"/>
      <c r="Q2" s="64"/>
      <c r="R2" s="51" t="s">
        <v>18</v>
      </c>
      <c r="T2" s="2"/>
    </row>
    <row r="3" spans="1:46" ht="18" customHeight="1" x14ac:dyDescent="0.3">
      <c r="A3" s="50"/>
      <c r="B3" s="52"/>
      <c r="C3" s="54"/>
      <c r="D3" s="56"/>
      <c r="E3" s="58"/>
      <c r="F3" s="3" t="s">
        <v>4</v>
      </c>
      <c r="G3" s="4" t="s">
        <v>2</v>
      </c>
      <c r="H3" s="4" t="s">
        <v>3</v>
      </c>
      <c r="I3" s="5" t="s">
        <v>4</v>
      </c>
      <c r="J3" s="6" t="s">
        <v>2</v>
      </c>
      <c r="K3" s="6" t="s">
        <v>3</v>
      </c>
      <c r="L3" s="3" t="s">
        <v>4</v>
      </c>
      <c r="M3" s="4" t="s">
        <v>2</v>
      </c>
      <c r="N3" s="4" t="s">
        <v>3</v>
      </c>
      <c r="O3" s="5" t="s">
        <v>4</v>
      </c>
      <c r="P3" s="6" t="s">
        <v>2</v>
      </c>
      <c r="Q3" s="6" t="s">
        <v>3</v>
      </c>
      <c r="R3" s="52"/>
      <c r="T3" s="2"/>
    </row>
    <row r="4" spans="1:46" ht="18" customHeight="1" x14ac:dyDescent="0.3">
      <c r="A4" s="65" t="s">
        <v>54</v>
      </c>
      <c r="B4" s="7" t="s">
        <v>48</v>
      </c>
      <c r="C4" s="8">
        <f>F4+I4+L4+O4</f>
        <v>13.956249999999997</v>
      </c>
      <c r="D4" s="9">
        <f>ROUND((G4+J4+M4+P4)/4,0)</f>
        <v>11</v>
      </c>
      <c r="E4" s="8">
        <f t="shared" ref="E4:E15" si="0">C4/D4</f>
        <v>1.2687499999999998</v>
      </c>
      <c r="F4" s="10">
        <v>0.87291666666666656</v>
      </c>
      <c r="G4" s="11">
        <v>11</v>
      </c>
      <c r="H4" s="10">
        <f>F4/G4</f>
        <v>7.9356060606060597E-2</v>
      </c>
      <c r="I4" s="8">
        <v>0.6333333333333333</v>
      </c>
      <c r="J4" s="11">
        <v>11</v>
      </c>
      <c r="K4" s="10">
        <f>I4/J4</f>
        <v>5.7575757575757572E-2</v>
      </c>
      <c r="L4" s="8">
        <f>VLOOKUP(B4,[1]筛选后!$S$4:$T$14,2,0)</f>
        <v>4.5868055555555545</v>
      </c>
      <c r="M4" s="11">
        <v>11</v>
      </c>
      <c r="N4" s="10">
        <f>L4/M4</f>
        <v>0.41698232323232315</v>
      </c>
      <c r="O4" s="8">
        <v>7.8631944444444439</v>
      </c>
      <c r="P4" s="11">
        <v>11</v>
      </c>
      <c r="Q4" s="10">
        <f>O4/P4</f>
        <v>0.71483585858585852</v>
      </c>
      <c r="R4" s="9"/>
      <c r="T4" s="2"/>
    </row>
    <row r="5" spans="1:46" ht="18" customHeight="1" x14ac:dyDescent="0.3">
      <c r="A5" s="66"/>
      <c r="B5" s="7" t="s">
        <v>12</v>
      </c>
      <c r="C5" s="8">
        <f t="shared" ref="C5:C17" si="1">F5+I5+L5+O5</f>
        <v>2.4076388888888891</v>
      </c>
      <c r="D5" s="9">
        <f t="shared" ref="D5:D17" si="2">ROUND((G5+J5+M5+P5)/4,0)</f>
        <v>9</v>
      </c>
      <c r="E5" s="8">
        <f t="shared" si="0"/>
        <v>0.26751543209876544</v>
      </c>
      <c r="F5" s="10">
        <v>0.25486111111111109</v>
      </c>
      <c r="G5" s="11">
        <v>9</v>
      </c>
      <c r="H5" s="10">
        <f t="shared" ref="H5:H17" si="3">F5/G5</f>
        <v>2.8317901234567899E-2</v>
      </c>
      <c r="I5" s="8">
        <v>0.22430555555555554</v>
      </c>
      <c r="J5" s="11">
        <v>9</v>
      </c>
      <c r="K5" s="10">
        <f t="shared" ref="K5:K17" si="4">I5/J5</f>
        <v>2.4922839506172838E-2</v>
      </c>
      <c r="L5" s="8">
        <f>VLOOKUP(B5,[1]筛选后!$S$4:$T$14,2,0)</f>
        <v>0.82361111111111118</v>
      </c>
      <c r="M5" s="11">
        <v>9</v>
      </c>
      <c r="N5" s="10">
        <f t="shared" ref="N5:N17" si="5">L5/M5</f>
        <v>9.1512345679012355E-2</v>
      </c>
      <c r="O5" s="8">
        <v>1.1048611111111111</v>
      </c>
      <c r="P5" s="11">
        <v>9</v>
      </c>
      <c r="Q5" s="10">
        <f t="shared" ref="Q5:Q7" si="6">O5/P5</f>
        <v>0.12276234567901234</v>
      </c>
      <c r="R5" s="9"/>
      <c r="T5" s="2"/>
    </row>
    <row r="6" spans="1:46" ht="18" customHeight="1" x14ac:dyDescent="0.3">
      <c r="A6" s="66"/>
      <c r="B6" s="7" t="s">
        <v>13</v>
      </c>
      <c r="C6" s="8">
        <f t="shared" si="1"/>
        <v>1.5673611111111112</v>
      </c>
      <c r="D6" s="9">
        <f t="shared" si="2"/>
        <v>2</v>
      </c>
      <c r="E6" s="8">
        <f t="shared" si="0"/>
        <v>0.7836805555555556</v>
      </c>
      <c r="F6" s="10">
        <v>0.50138888888888888</v>
      </c>
      <c r="G6" s="11">
        <v>2</v>
      </c>
      <c r="H6" s="10">
        <f>F6/G6</f>
        <v>0.25069444444444444</v>
      </c>
      <c r="I6" s="8">
        <v>0.15833333333333333</v>
      </c>
      <c r="J6" s="11">
        <v>2</v>
      </c>
      <c r="K6" s="10">
        <f t="shared" si="4"/>
        <v>7.9166666666666663E-2</v>
      </c>
      <c r="L6" s="8">
        <f>VLOOKUP(B6,[1]筛选后!$S$4:$T$14,2,0)</f>
        <v>0.62777777777777777</v>
      </c>
      <c r="M6" s="11">
        <v>2</v>
      </c>
      <c r="N6" s="10">
        <f t="shared" si="5"/>
        <v>0.31388888888888888</v>
      </c>
      <c r="O6" s="8">
        <v>0.27986111111111112</v>
      </c>
      <c r="P6" s="11">
        <v>2</v>
      </c>
      <c r="Q6" s="10">
        <f t="shared" si="6"/>
        <v>0.13993055555555556</v>
      </c>
      <c r="R6" s="9"/>
      <c r="T6" s="2"/>
    </row>
    <row r="7" spans="1:46" ht="18" customHeight="1" x14ac:dyDescent="0.3">
      <c r="A7" s="67"/>
      <c r="B7" s="7" t="s">
        <v>47</v>
      </c>
      <c r="C7" s="8">
        <f t="shared" si="1"/>
        <v>0.28263888888888888</v>
      </c>
      <c r="D7" s="9">
        <f t="shared" si="2"/>
        <v>1</v>
      </c>
      <c r="E7" s="8">
        <f t="shared" si="0"/>
        <v>0.28263888888888888</v>
      </c>
      <c r="F7" s="10">
        <v>0.1423611111111111</v>
      </c>
      <c r="G7" s="11">
        <v>1</v>
      </c>
      <c r="H7" s="10">
        <f t="shared" si="3"/>
        <v>0.1423611111111111</v>
      </c>
      <c r="I7" s="8">
        <v>0</v>
      </c>
      <c r="J7" s="11">
        <v>1</v>
      </c>
      <c r="K7" s="10">
        <f t="shared" si="4"/>
        <v>0</v>
      </c>
      <c r="L7" s="8">
        <v>0</v>
      </c>
      <c r="M7" s="11">
        <v>1</v>
      </c>
      <c r="N7" s="10">
        <f t="shared" si="5"/>
        <v>0</v>
      </c>
      <c r="O7" s="8">
        <v>0.14027777777777778</v>
      </c>
      <c r="P7" s="11">
        <v>1</v>
      </c>
      <c r="Q7" s="10">
        <f t="shared" si="6"/>
        <v>0.14027777777777778</v>
      </c>
      <c r="R7" s="9"/>
      <c r="T7" s="2"/>
    </row>
    <row r="8" spans="1:46" ht="18" customHeight="1" x14ac:dyDescent="0.3">
      <c r="A8" s="65" t="s">
        <v>91</v>
      </c>
      <c r="B8" s="9" t="s">
        <v>89</v>
      </c>
      <c r="C8" s="8">
        <f t="shared" si="1"/>
        <v>10.888194444444444</v>
      </c>
      <c r="D8" s="9">
        <f t="shared" si="2"/>
        <v>27</v>
      </c>
      <c r="E8" s="8">
        <f t="shared" si="0"/>
        <v>0.40326646090534979</v>
      </c>
      <c r="F8" s="10">
        <v>1.8569444444444445</v>
      </c>
      <c r="G8" s="11">
        <v>27</v>
      </c>
      <c r="H8" s="10">
        <f>F8/G8</f>
        <v>6.8775720164609061E-2</v>
      </c>
      <c r="I8" s="8">
        <v>1.3270833333333329</v>
      </c>
      <c r="J8" s="11">
        <v>27</v>
      </c>
      <c r="K8" s="10">
        <f>I8/J8</f>
        <v>4.9151234567901221E-2</v>
      </c>
      <c r="L8" s="8">
        <f>VLOOKUP(B8,[1]筛选后!$S$4:$T$14,2,0)</f>
        <v>4.0020833333333341</v>
      </c>
      <c r="M8" s="11">
        <v>27</v>
      </c>
      <c r="N8" s="10">
        <f>L8/M8</f>
        <v>0.14822530864197533</v>
      </c>
      <c r="O8" s="8">
        <v>3.7020833333333329</v>
      </c>
      <c r="P8" s="11">
        <v>27</v>
      </c>
      <c r="Q8" s="10">
        <f>O8/P8</f>
        <v>0.13711419753086418</v>
      </c>
      <c r="R8" s="9"/>
      <c r="T8" s="2"/>
    </row>
    <row r="9" spans="1:46" ht="18" customHeight="1" x14ac:dyDescent="0.3">
      <c r="A9" s="66"/>
      <c r="B9" s="9" t="s">
        <v>90</v>
      </c>
      <c r="C9" s="8">
        <f t="shared" si="1"/>
        <v>5.9270833333333339</v>
      </c>
      <c r="D9" s="9">
        <f t="shared" si="2"/>
        <v>16</v>
      </c>
      <c r="E9" s="8">
        <f t="shared" si="0"/>
        <v>0.37044270833333337</v>
      </c>
      <c r="F9" s="10">
        <v>1.784027777777778</v>
      </c>
      <c r="G9" s="11">
        <v>16</v>
      </c>
      <c r="H9" s="10">
        <f t="shared" si="3"/>
        <v>0.11150173611111112</v>
      </c>
      <c r="I9" s="8">
        <v>0.84930555555555554</v>
      </c>
      <c r="J9" s="11">
        <v>16</v>
      </c>
      <c r="K9" s="10">
        <f t="shared" si="4"/>
        <v>5.3081597222222221E-2</v>
      </c>
      <c r="L9" s="8">
        <f>VLOOKUP(B9,[1]筛选后!$S$4:$T$14,2,0)</f>
        <v>1.8180555555555555</v>
      </c>
      <c r="M9" s="11">
        <v>16</v>
      </c>
      <c r="N9" s="10">
        <f t="shared" si="5"/>
        <v>0.11362847222222222</v>
      </c>
      <c r="O9" s="8">
        <v>1.4756944444444446</v>
      </c>
      <c r="P9" s="11">
        <v>15</v>
      </c>
      <c r="Q9" s="10">
        <f t="shared" ref="Q9" si="7">O9/P9</f>
        <v>9.8379629629629636E-2</v>
      </c>
      <c r="R9" s="9"/>
      <c r="T9" s="2"/>
    </row>
    <row r="10" spans="1:46" ht="18" customHeight="1" x14ac:dyDescent="0.3">
      <c r="A10" s="66"/>
      <c r="B10" s="7" t="s">
        <v>94</v>
      </c>
      <c r="C10" s="8">
        <f t="shared" si="1"/>
        <v>2.9548611111111112</v>
      </c>
      <c r="D10" s="9">
        <f t="shared" si="2"/>
        <v>18</v>
      </c>
      <c r="E10" s="8">
        <f t="shared" si="0"/>
        <v>0.16415895061728394</v>
      </c>
      <c r="F10" s="10">
        <v>0.55694444444444435</v>
      </c>
      <c r="G10" s="11">
        <v>18</v>
      </c>
      <c r="H10" s="10">
        <f>F10/G10</f>
        <v>3.0941358024691352E-2</v>
      </c>
      <c r="I10" s="8">
        <v>0.79166666666666674</v>
      </c>
      <c r="J10" s="11">
        <v>18</v>
      </c>
      <c r="K10" s="10">
        <f>I10/J10</f>
        <v>4.3981481481481483E-2</v>
      </c>
      <c r="L10" s="8">
        <f>VLOOKUP(B10,[1]筛选后!$S$4:$T$14,2,0)</f>
        <v>0.46180555555555552</v>
      </c>
      <c r="M10" s="11">
        <v>18</v>
      </c>
      <c r="N10" s="10">
        <f>L10/M10</f>
        <v>2.5655864197530864E-2</v>
      </c>
      <c r="O10" s="8">
        <v>1.1444444444444446</v>
      </c>
      <c r="P10" s="11">
        <v>18</v>
      </c>
      <c r="Q10" s="10">
        <f>O10/P10</f>
        <v>6.358024691358026E-2</v>
      </c>
      <c r="R10" s="9"/>
      <c r="T10" s="2"/>
    </row>
    <row r="11" spans="1:46" ht="18" customHeight="1" x14ac:dyDescent="0.3">
      <c r="A11" s="66"/>
      <c r="B11" s="7" t="s">
        <v>95</v>
      </c>
      <c r="C11" s="8">
        <f t="shared" si="1"/>
        <v>0.27083333333333337</v>
      </c>
      <c r="D11" s="9">
        <f t="shared" si="2"/>
        <v>4</v>
      </c>
      <c r="E11" s="8">
        <f t="shared" si="0"/>
        <v>6.7708333333333343E-2</v>
      </c>
      <c r="F11" s="10">
        <v>0</v>
      </c>
      <c r="G11" s="11">
        <v>4</v>
      </c>
      <c r="H11" s="10">
        <f>F11/G11</f>
        <v>0</v>
      </c>
      <c r="I11" s="8">
        <v>0</v>
      </c>
      <c r="J11" s="11">
        <v>4</v>
      </c>
      <c r="K11" s="10">
        <f>I11/J11</f>
        <v>0</v>
      </c>
      <c r="L11" s="8">
        <f>VLOOKUP(B11,[1]筛选后!$S$4:$T$14,2,0)</f>
        <v>0.27083333333333337</v>
      </c>
      <c r="M11" s="11">
        <v>4</v>
      </c>
      <c r="N11" s="10">
        <f>L11/M11</f>
        <v>6.7708333333333343E-2</v>
      </c>
      <c r="O11" s="8">
        <v>0</v>
      </c>
      <c r="P11" s="11">
        <v>4</v>
      </c>
      <c r="Q11" s="10">
        <f>O11/P11</f>
        <v>0</v>
      </c>
      <c r="R11" s="9"/>
      <c r="T11" s="2"/>
    </row>
    <row r="12" spans="1:46" ht="18" customHeight="1" x14ac:dyDescent="0.3">
      <c r="A12" s="67"/>
      <c r="B12" s="7" t="s">
        <v>96</v>
      </c>
      <c r="C12" s="8">
        <f t="shared" si="1"/>
        <v>0.15208333333333335</v>
      </c>
      <c r="D12" s="9">
        <f t="shared" si="2"/>
        <v>2</v>
      </c>
      <c r="E12" s="8">
        <f t="shared" si="0"/>
        <v>7.6041666666666674E-2</v>
      </c>
      <c r="F12" s="10">
        <v>5.0694444444444445E-2</v>
      </c>
      <c r="G12" s="11">
        <v>2</v>
      </c>
      <c r="H12" s="10">
        <f t="shared" si="3"/>
        <v>2.5347222222222222E-2</v>
      </c>
      <c r="I12" s="8">
        <v>0</v>
      </c>
      <c r="J12" s="11">
        <v>2</v>
      </c>
      <c r="K12" s="10">
        <f t="shared" si="4"/>
        <v>0</v>
      </c>
      <c r="L12" s="8">
        <f>VLOOKUP(B12,[1]筛选后!$S$4:$T$14,2,0)</f>
        <v>4.9305555555555554E-2</v>
      </c>
      <c r="M12" s="11">
        <v>2</v>
      </c>
      <c r="N12" s="10">
        <f t="shared" si="5"/>
        <v>2.4652777777777777E-2</v>
      </c>
      <c r="O12" s="8">
        <v>5.2083333333333336E-2</v>
      </c>
      <c r="P12" s="11">
        <v>2</v>
      </c>
      <c r="Q12" s="10">
        <f t="shared" ref="Q12:Q17" si="8">O12/P12</f>
        <v>2.6041666666666668E-2</v>
      </c>
      <c r="R12" s="9"/>
      <c r="T12" s="2"/>
    </row>
    <row r="13" spans="1:46" ht="18" customHeight="1" x14ac:dyDescent="0.3">
      <c r="A13" s="12" t="s">
        <v>7</v>
      </c>
      <c r="B13" s="13" t="s">
        <v>7</v>
      </c>
      <c r="C13" s="8">
        <f t="shared" si="1"/>
        <v>1.026388888888889</v>
      </c>
      <c r="D13" s="9">
        <f t="shared" si="2"/>
        <v>2</v>
      </c>
      <c r="E13" s="8">
        <f t="shared" si="0"/>
        <v>0.51319444444444451</v>
      </c>
      <c r="F13" s="10">
        <v>0.3041666666666667</v>
      </c>
      <c r="G13" s="11">
        <v>2</v>
      </c>
      <c r="H13" s="10">
        <f t="shared" si="3"/>
        <v>0.15208333333333335</v>
      </c>
      <c r="I13" s="8">
        <v>0</v>
      </c>
      <c r="J13" s="11">
        <v>2</v>
      </c>
      <c r="K13" s="10">
        <f t="shared" si="4"/>
        <v>0</v>
      </c>
      <c r="L13" s="8">
        <f>VLOOKUP(B13,[1]筛选后!$S$4:$T$14,2,0)</f>
        <v>0.62708333333333333</v>
      </c>
      <c r="M13" s="11">
        <v>2</v>
      </c>
      <c r="N13" s="10">
        <f t="shared" si="5"/>
        <v>0.31354166666666666</v>
      </c>
      <c r="O13" s="8">
        <v>9.5138888888888884E-2</v>
      </c>
      <c r="P13" s="11">
        <v>2</v>
      </c>
      <c r="Q13" s="10">
        <f t="shared" si="8"/>
        <v>4.7569444444444442E-2</v>
      </c>
      <c r="R13" s="9"/>
      <c r="T13" s="2"/>
    </row>
    <row r="14" spans="1:46" ht="18" customHeight="1" x14ac:dyDescent="0.3">
      <c r="A14" s="12" t="s">
        <v>8</v>
      </c>
      <c r="B14" s="13" t="s">
        <v>8</v>
      </c>
      <c r="C14" s="8">
        <f t="shared" si="1"/>
        <v>0</v>
      </c>
      <c r="D14" s="9">
        <f t="shared" si="2"/>
        <v>1</v>
      </c>
      <c r="E14" s="8">
        <f t="shared" si="0"/>
        <v>0</v>
      </c>
      <c r="F14" s="10">
        <v>0</v>
      </c>
      <c r="G14" s="11">
        <v>1</v>
      </c>
      <c r="H14" s="10">
        <f t="shared" si="3"/>
        <v>0</v>
      </c>
      <c r="I14" s="8">
        <v>0</v>
      </c>
      <c r="J14" s="11">
        <v>1</v>
      </c>
      <c r="K14" s="10">
        <f t="shared" si="4"/>
        <v>0</v>
      </c>
      <c r="L14" s="8">
        <v>0</v>
      </c>
      <c r="M14" s="11">
        <v>1</v>
      </c>
      <c r="N14" s="10">
        <f t="shared" si="5"/>
        <v>0</v>
      </c>
      <c r="O14" s="8">
        <v>0</v>
      </c>
      <c r="P14" s="11">
        <v>1</v>
      </c>
      <c r="Q14" s="10">
        <f t="shared" si="8"/>
        <v>0</v>
      </c>
      <c r="R14" s="9"/>
      <c r="T14" s="2"/>
    </row>
    <row r="15" spans="1:46" ht="18" customHeight="1" x14ac:dyDescent="0.3">
      <c r="A15" s="12" t="s">
        <v>9</v>
      </c>
      <c r="B15" s="13" t="s">
        <v>9</v>
      </c>
      <c r="C15" s="8">
        <f t="shared" si="1"/>
        <v>0</v>
      </c>
      <c r="D15" s="9">
        <f t="shared" si="2"/>
        <v>3</v>
      </c>
      <c r="E15" s="8">
        <f t="shared" si="0"/>
        <v>0</v>
      </c>
      <c r="F15" s="10">
        <v>0</v>
      </c>
      <c r="G15" s="11">
        <v>3</v>
      </c>
      <c r="H15" s="10">
        <f t="shared" si="3"/>
        <v>0</v>
      </c>
      <c r="I15" s="8">
        <v>0</v>
      </c>
      <c r="J15" s="11">
        <v>3</v>
      </c>
      <c r="K15" s="10">
        <f t="shared" si="4"/>
        <v>0</v>
      </c>
      <c r="L15" s="8">
        <v>0</v>
      </c>
      <c r="M15" s="11">
        <v>3</v>
      </c>
      <c r="N15" s="10">
        <f t="shared" si="5"/>
        <v>0</v>
      </c>
      <c r="O15" s="8">
        <v>0</v>
      </c>
      <c r="P15" s="11">
        <v>3</v>
      </c>
      <c r="Q15" s="10">
        <f t="shared" si="8"/>
        <v>0</v>
      </c>
      <c r="R15" s="9"/>
      <c r="T15" s="2"/>
    </row>
    <row r="16" spans="1:46" ht="18" customHeight="1" x14ac:dyDescent="0.3">
      <c r="A16" s="12" t="s">
        <v>10</v>
      </c>
      <c r="B16" s="13" t="s">
        <v>10</v>
      </c>
      <c r="C16" s="8">
        <f t="shared" si="1"/>
        <v>1.2000000000000002</v>
      </c>
      <c r="D16" s="9">
        <f t="shared" si="2"/>
        <v>1</v>
      </c>
      <c r="E16" s="8">
        <f t="shared" ref="E16:E17" si="9">C16/D16</f>
        <v>1.2000000000000002</v>
      </c>
      <c r="F16" s="10">
        <v>0</v>
      </c>
      <c r="G16" s="11">
        <v>1</v>
      </c>
      <c r="H16" s="10">
        <f t="shared" si="3"/>
        <v>0</v>
      </c>
      <c r="I16" s="8">
        <v>0</v>
      </c>
      <c r="J16" s="11">
        <v>1</v>
      </c>
      <c r="K16" s="10">
        <f t="shared" si="4"/>
        <v>0</v>
      </c>
      <c r="L16" s="8">
        <f>VLOOKUP(B16,[1]筛选后!$S$4:$T$14,2,0)</f>
        <v>1.2000000000000002</v>
      </c>
      <c r="M16" s="11">
        <v>1</v>
      </c>
      <c r="N16" s="10">
        <f t="shared" si="5"/>
        <v>1.2000000000000002</v>
      </c>
      <c r="O16" s="8">
        <v>0</v>
      </c>
      <c r="P16" s="11">
        <v>1</v>
      </c>
      <c r="Q16" s="10">
        <f t="shared" si="8"/>
        <v>0</v>
      </c>
      <c r="R16" s="9"/>
      <c r="T16" s="2"/>
    </row>
    <row r="17" spans="1:38" ht="18" customHeight="1" x14ac:dyDescent="0.3">
      <c r="A17" s="12" t="s">
        <v>11</v>
      </c>
      <c r="B17" s="13" t="s">
        <v>11</v>
      </c>
      <c r="C17" s="8">
        <f t="shared" si="1"/>
        <v>0.6743055555555556</v>
      </c>
      <c r="D17" s="9">
        <f t="shared" si="2"/>
        <v>2</v>
      </c>
      <c r="E17" s="8">
        <f t="shared" si="9"/>
        <v>0.3371527777777778</v>
      </c>
      <c r="F17" s="10">
        <v>8.2638888888888887E-2</v>
      </c>
      <c r="G17" s="11">
        <v>2</v>
      </c>
      <c r="H17" s="10">
        <f t="shared" si="3"/>
        <v>4.1319444444444443E-2</v>
      </c>
      <c r="I17" s="8">
        <v>0</v>
      </c>
      <c r="J17" s="11">
        <v>2</v>
      </c>
      <c r="K17" s="10">
        <f t="shared" si="4"/>
        <v>0</v>
      </c>
      <c r="L17" s="8">
        <f>VLOOKUP(B17,[1]筛选后!$S$4:$T$14,2,0)</f>
        <v>0.44027777777777777</v>
      </c>
      <c r="M17" s="11">
        <v>2</v>
      </c>
      <c r="N17" s="10">
        <f t="shared" si="5"/>
        <v>0.22013888888888888</v>
      </c>
      <c r="O17" s="8">
        <v>0.15138888888888888</v>
      </c>
      <c r="P17" s="11">
        <v>2</v>
      </c>
      <c r="Q17" s="10">
        <f t="shared" si="8"/>
        <v>7.5694444444444439E-2</v>
      </c>
      <c r="R17" s="9"/>
      <c r="T17" s="2"/>
    </row>
    <row r="18" spans="1:38" ht="18" customHeight="1" x14ac:dyDescent="0.3">
      <c r="A18" s="14" t="s">
        <v>42</v>
      </c>
      <c r="B18" s="15"/>
      <c r="C18" s="5">
        <f>SUM(C4:C17)</f>
        <v>41.307638888888896</v>
      </c>
      <c r="D18" s="6">
        <f>SUM(D4:D17)</f>
        <v>99</v>
      </c>
      <c r="E18" s="5">
        <f>C18/D18</f>
        <v>0.41724887766554442</v>
      </c>
      <c r="F18" s="3">
        <f>SUM(F4:F17)</f>
        <v>6.406944444444445</v>
      </c>
      <c r="G18" s="4">
        <f>SUM(G4:G17)</f>
        <v>99</v>
      </c>
      <c r="H18" s="3">
        <f>F18/G18</f>
        <v>6.471661054994389E-2</v>
      </c>
      <c r="I18" s="5">
        <f>SUM(I4:I17)</f>
        <v>3.9840277777777775</v>
      </c>
      <c r="J18" s="6">
        <f>SUM(J4:J17)</f>
        <v>99</v>
      </c>
      <c r="K18" s="5">
        <f>I18/J18</f>
        <v>4.0242704826038159E-2</v>
      </c>
      <c r="L18" s="3">
        <f>SUM(L4:L17)</f>
        <v>14.907638888888892</v>
      </c>
      <c r="M18" s="4">
        <f>SUM(M4:M17)</f>
        <v>99</v>
      </c>
      <c r="N18" s="3">
        <f>L18/M18</f>
        <v>0.1505822109988777</v>
      </c>
      <c r="O18" s="5">
        <f>SUM(O4:O17)</f>
        <v>16.009027777777778</v>
      </c>
      <c r="P18" s="6">
        <f>SUM(P4:P17)</f>
        <v>98</v>
      </c>
      <c r="Q18" s="5">
        <f>O18/P18</f>
        <v>0.16335742630385489</v>
      </c>
      <c r="R18" s="9"/>
      <c r="T18" s="2"/>
    </row>
    <row r="19" spans="1:38" ht="24" customHeight="1" x14ac:dyDescent="0.3">
      <c r="A19" s="16" t="s">
        <v>55</v>
      </c>
      <c r="B19" s="17"/>
      <c r="F19" s="20"/>
      <c r="G19" s="20"/>
      <c r="H19" s="20"/>
      <c r="I19" s="20"/>
      <c r="J19" s="21"/>
      <c r="K19" s="20"/>
      <c r="L19" s="20"/>
      <c r="M19" s="21"/>
      <c r="N19" s="20"/>
      <c r="O19" s="20"/>
      <c r="P19" s="21"/>
      <c r="Q19" s="20"/>
      <c r="R19" s="20"/>
      <c r="S19" s="20"/>
      <c r="T19" s="21"/>
      <c r="U19" s="20"/>
      <c r="V19" s="20"/>
      <c r="W19" s="21"/>
      <c r="X19" s="20"/>
      <c r="Y19" s="20"/>
      <c r="Z19" s="21"/>
      <c r="AA19" s="20"/>
      <c r="AB19" s="20"/>
      <c r="AC19" s="21"/>
      <c r="AD19" s="20"/>
      <c r="AE19" s="20"/>
      <c r="AF19" s="21"/>
      <c r="AG19" s="20"/>
      <c r="AK19" s="19"/>
    </row>
    <row r="20" spans="1:38" ht="24" customHeight="1" x14ac:dyDescent="0.3">
      <c r="A20" s="16"/>
      <c r="B20" s="17"/>
      <c r="F20" s="20"/>
      <c r="G20" s="21"/>
      <c r="H20" s="20"/>
      <c r="I20" s="20"/>
      <c r="J20" s="21"/>
      <c r="K20" s="20"/>
      <c r="L20" s="20"/>
      <c r="M20" s="21"/>
      <c r="N20" s="20"/>
      <c r="O20" s="20"/>
      <c r="P20" s="21"/>
      <c r="Q20" s="20"/>
      <c r="R20" s="20"/>
      <c r="S20" s="20"/>
      <c r="T20" s="21"/>
      <c r="U20" s="20"/>
      <c r="V20" s="20"/>
      <c r="W20" s="21"/>
      <c r="X20" s="20"/>
      <c r="Y20" s="20"/>
      <c r="Z20" s="21"/>
      <c r="AA20" s="20"/>
      <c r="AB20" s="20"/>
      <c r="AC20" s="21"/>
      <c r="AD20" s="20"/>
      <c r="AE20" s="20"/>
      <c r="AF20" s="21"/>
      <c r="AG20" s="20"/>
      <c r="AK20" s="19"/>
    </row>
    <row r="21" spans="1:38" ht="16.5" customHeight="1" x14ac:dyDescent="0.3">
      <c r="A21" s="22"/>
      <c r="B21" s="23"/>
      <c r="C21" s="24"/>
      <c r="D21" s="25"/>
      <c r="E21" s="24"/>
      <c r="F21" s="24"/>
      <c r="G21" s="25"/>
      <c r="H21" s="25"/>
      <c r="I21" s="24"/>
      <c r="J21" s="25"/>
      <c r="K21" s="25"/>
      <c r="L21" s="24"/>
      <c r="M21" s="25"/>
      <c r="N21" s="25"/>
      <c r="O21" s="24"/>
      <c r="P21" s="25"/>
      <c r="Q21" s="25"/>
      <c r="R21" s="24"/>
      <c r="S21" s="22"/>
      <c r="T21" s="26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K21" s="18"/>
      <c r="AL21" s="27"/>
    </row>
    <row r="22" spans="1:38" ht="30" customHeight="1" x14ac:dyDescent="0.3">
      <c r="A22" s="18"/>
      <c r="B22" s="18"/>
      <c r="C22" s="19"/>
      <c r="F22" s="19"/>
      <c r="H22" s="28"/>
      <c r="I22" s="2"/>
      <c r="J22" s="2"/>
      <c r="K22" s="2"/>
      <c r="L22" s="2"/>
      <c r="M22" s="2"/>
      <c r="N22" s="2"/>
      <c r="O22" s="2"/>
      <c r="P22" s="2"/>
      <c r="Q22" s="2"/>
      <c r="R22" s="2"/>
      <c r="T22" s="2"/>
    </row>
    <row r="23" spans="1:38" ht="18" customHeight="1" x14ac:dyDescent="0.3">
      <c r="A23" s="18"/>
      <c r="B23" s="18"/>
      <c r="C23" s="19"/>
      <c r="F23" s="19"/>
      <c r="H23" s="28"/>
      <c r="I23" s="2"/>
      <c r="J23" s="2"/>
      <c r="K23" s="2"/>
      <c r="L23" s="2"/>
      <c r="M23" s="2"/>
      <c r="N23" s="2"/>
      <c r="O23" s="2"/>
      <c r="P23" s="2"/>
      <c r="Q23" s="2"/>
      <c r="R23" s="2"/>
      <c r="T23" s="2"/>
    </row>
    <row r="24" spans="1:38" ht="18" customHeight="1" x14ac:dyDescent="0.3">
      <c r="A24" s="18"/>
      <c r="B24" s="18"/>
      <c r="C24" s="19"/>
      <c r="F24" s="19"/>
      <c r="H24" s="28"/>
      <c r="I24" s="2"/>
      <c r="J24" s="2"/>
      <c r="K24" s="2"/>
      <c r="L24" s="2"/>
      <c r="M24" s="2"/>
      <c r="N24" s="2"/>
      <c r="O24" s="2"/>
      <c r="P24" s="2"/>
      <c r="Q24" s="2"/>
      <c r="R24" s="2"/>
      <c r="T24" s="2"/>
    </row>
    <row r="25" spans="1:38" ht="18" customHeight="1" x14ac:dyDescent="0.3">
      <c r="A25" s="18"/>
      <c r="B25" s="18"/>
      <c r="C25" s="19"/>
      <c r="F25" s="19"/>
      <c r="H25" s="28"/>
      <c r="I25" s="2"/>
      <c r="J25" s="2"/>
      <c r="K25" s="2"/>
      <c r="L25" s="2"/>
      <c r="M25" s="2"/>
      <c r="N25" s="2"/>
      <c r="O25" s="2"/>
      <c r="P25" s="2"/>
      <c r="Q25" s="2"/>
      <c r="R25" s="2"/>
      <c r="T25" s="2"/>
    </row>
    <row r="26" spans="1:38" ht="18" customHeight="1" x14ac:dyDescent="0.3">
      <c r="A26" s="18"/>
      <c r="B26" s="18"/>
      <c r="C26" s="19"/>
      <c r="F26" s="19"/>
      <c r="H26" s="28"/>
      <c r="I26" s="2"/>
      <c r="J26" s="2"/>
      <c r="K26" s="2"/>
      <c r="L26" s="2"/>
      <c r="M26" s="2"/>
      <c r="N26" s="2"/>
      <c r="O26" s="2"/>
      <c r="P26" s="2"/>
      <c r="Q26" s="2"/>
      <c r="R26" s="2"/>
      <c r="T26" s="2"/>
    </row>
    <row r="27" spans="1:38" ht="18" customHeight="1" x14ac:dyDescent="0.3">
      <c r="A27" s="18"/>
      <c r="B27" s="18"/>
      <c r="C27" s="19"/>
      <c r="F27" s="19"/>
      <c r="H27" s="28"/>
      <c r="I27" s="2"/>
      <c r="J27" s="2"/>
      <c r="K27" s="2"/>
      <c r="L27" s="2"/>
      <c r="M27" s="2"/>
      <c r="N27" s="2"/>
      <c r="O27" s="2"/>
      <c r="P27" s="2"/>
      <c r="Q27" s="2"/>
      <c r="R27" s="2"/>
      <c r="T27" s="2"/>
    </row>
    <row r="28" spans="1:38" ht="18" customHeight="1" x14ac:dyDescent="0.3">
      <c r="A28" s="18"/>
      <c r="B28" s="18"/>
      <c r="C28" s="19"/>
      <c r="F28" s="19"/>
      <c r="H28" s="28"/>
      <c r="I28" s="2"/>
      <c r="J28" s="2"/>
      <c r="K28" s="2"/>
      <c r="L28" s="2"/>
      <c r="M28" s="2"/>
      <c r="N28" s="2"/>
      <c r="O28" s="2"/>
      <c r="P28" s="2"/>
      <c r="Q28" s="2"/>
      <c r="R28" s="2"/>
      <c r="T28" s="2"/>
    </row>
    <row r="29" spans="1:38" ht="18" customHeight="1" x14ac:dyDescent="0.3">
      <c r="A29" s="18"/>
      <c r="B29" s="18"/>
      <c r="C29" s="19"/>
      <c r="F29" s="19"/>
      <c r="H29" s="28"/>
      <c r="I29" s="2"/>
      <c r="J29" s="2"/>
      <c r="K29" s="2"/>
      <c r="L29" s="2"/>
      <c r="M29" s="2"/>
      <c r="N29" s="2"/>
      <c r="O29" s="2"/>
      <c r="P29" s="2"/>
      <c r="Q29" s="2"/>
      <c r="R29" s="2"/>
      <c r="T29" s="2"/>
    </row>
    <row r="30" spans="1:38" ht="18" customHeight="1" x14ac:dyDescent="0.3">
      <c r="A30" s="18"/>
      <c r="B30" s="18"/>
      <c r="C30" s="19"/>
      <c r="F30" s="19"/>
      <c r="H30" s="28"/>
      <c r="I30" s="2"/>
      <c r="J30" s="2"/>
      <c r="K30" s="2"/>
      <c r="L30" s="2"/>
      <c r="M30" s="2"/>
      <c r="N30" s="2"/>
      <c r="O30" s="2"/>
      <c r="P30" s="2"/>
      <c r="Q30" s="2"/>
      <c r="R30" s="2"/>
      <c r="T30" s="2"/>
    </row>
    <row r="31" spans="1:38" ht="18" customHeight="1" x14ac:dyDescent="0.3">
      <c r="A31" s="18"/>
      <c r="B31" s="18"/>
      <c r="C31" s="19"/>
      <c r="F31" s="19"/>
      <c r="H31" s="28"/>
      <c r="I31" s="2"/>
      <c r="J31" s="2"/>
      <c r="K31" s="2"/>
      <c r="L31" s="2"/>
      <c r="M31" s="2"/>
      <c r="N31" s="2"/>
      <c r="O31" s="2"/>
      <c r="P31" s="2"/>
      <c r="Q31" s="2"/>
      <c r="R31" s="2"/>
      <c r="T31" s="2"/>
    </row>
    <row r="32" spans="1:38" ht="18" customHeight="1" x14ac:dyDescent="0.3">
      <c r="A32" s="18"/>
      <c r="B32" s="18"/>
      <c r="C32" s="19"/>
      <c r="F32" s="19"/>
      <c r="H32" s="28"/>
      <c r="I32" s="2"/>
      <c r="J32" s="2"/>
      <c r="K32" s="2"/>
      <c r="L32" s="2"/>
      <c r="M32" s="2"/>
      <c r="N32" s="2"/>
      <c r="O32" s="2"/>
      <c r="P32" s="2"/>
      <c r="Q32" s="2"/>
      <c r="R32" s="2"/>
      <c r="T32" s="2"/>
    </row>
    <row r="33" spans="1:20" ht="18" customHeight="1" x14ac:dyDescent="0.3">
      <c r="A33" s="18"/>
      <c r="B33" s="18"/>
      <c r="C33" s="19"/>
      <c r="F33" s="19"/>
      <c r="H33" s="28"/>
      <c r="I33" s="2"/>
      <c r="J33" s="2"/>
      <c r="K33" s="2"/>
      <c r="L33" s="2"/>
      <c r="M33" s="2"/>
      <c r="N33" s="2"/>
      <c r="O33" s="2"/>
      <c r="P33" s="2"/>
      <c r="Q33" s="2"/>
      <c r="R33" s="2"/>
      <c r="T33" s="2"/>
    </row>
    <row r="34" spans="1:20" ht="16.5" customHeight="1" x14ac:dyDescent="0.3">
      <c r="A34" s="21"/>
      <c r="B34" s="20"/>
      <c r="C34" s="21"/>
      <c r="D34" s="20"/>
    </row>
    <row r="35" spans="1:20" ht="16.5" customHeight="1" x14ac:dyDescent="0.3">
      <c r="A35" s="30"/>
      <c r="B35" s="20"/>
      <c r="C35" s="21"/>
      <c r="D35" s="20"/>
    </row>
    <row r="36" spans="1:20" ht="16.5" customHeight="1" x14ac:dyDescent="0.3">
      <c r="A36" s="30"/>
      <c r="B36" s="20"/>
      <c r="C36" s="21"/>
      <c r="D36" s="20"/>
    </row>
    <row r="37" spans="1:20" ht="16.5" customHeight="1" x14ac:dyDescent="0.3">
      <c r="A37" s="30"/>
      <c r="B37" s="20"/>
      <c r="C37" s="21"/>
      <c r="D37" s="20"/>
    </row>
    <row r="38" spans="1:20" ht="16.5" customHeight="1" x14ac:dyDescent="0.3">
      <c r="A38" s="30"/>
      <c r="B38" s="20"/>
      <c r="C38" s="21"/>
      <c r="D38" s="20"/>
    </row>
    <row r="39" spans="1:20" ht="16.5" customHeight="1" x14ac:dyDescent="0.3">
      <c r="A39" s="30"/>
      <c r="B39" s="20"/>
      <c r="C39" s="21"/>
      <c r="D39" s="20"/>
    </row>
    <row r="40" spans="1:20" ht="30" customHeight="1" x14ac:dyDescent="0.3">
      <c r="A40" s="37" t="s">
        <v>123</v>
      </c>
      <c r="B40" s="37"/>
      <c r="C40" s="37"/>
      <c r="D40" s="37"/>
      <c r="E40" s="37"/>
      <c r="F40" s="37"/>
      <c r="L40" s="2"/>
      <c r="M40" s="2"/>
      <c r="N40" s="2"/>
      <c r="R40" s="2"/>
      <c r="T40" s="2"/>
    </row>
    <row r="41" spans="1:20" ht="28.5" customHeight="1" x14ac:dyDescent="0.3">
      <c r="A41" s="31" t="s">
        <v>0</v>
      </c>
      <c r="B41" s="32" t="s">
        <v>1</v>
      </c>
      <c r="C41" s="33" t="s">
        <v>56</v>
      </c>
      <c r="D41" s="33" t="s">
        <v>57</v>
      </c>
      <c r="E41" s="33" t="s">
        <v>74</v>
      </c>
      <c r="F41" s="33" t="s">
        <v>132</v>
      </c>
      <c r="G41" s="18"/>
      <c r="H41" s="18"/>
      <c r="L41" s="2"/>
      <c r="M41" s="2"/>
      <c r="N41" s="2"/>
      <c r="R41" s="2"/>
      <c r="T41" s="2"/>
    </row>
    <row r="42" spans="1:20" ht="18" customHeight="1" x14ac:dyDescent="0.3">
      <c r="A42" s="65" t="s">
        <v>54</v>
      </c>
      <c r="B42" s="7" t="s">
        <v>48</v>
      </c>
      <c r="C42" s="10">
        <f>H4</f>
        <v>7.9356060606060597E-2</v>
      </c>
      <c r="D42" s="10">
        <f t="shared" ref="D42:D50" si="10">K4</f>
        <v>5.7575757575757572E-2</v>
      </c>
      <c r="E42" s="8">
        <f t="shared" ref="E42:E49" si="11">N4</f>
        <v>0.41698232323232315</v>
      </c>
      <c r="F42" s="8">
        <f>Q4</f>
        <v>0.71483585858585852</v>
      </c>
      <c r="G42" s="18"/>
      <c r="H42" s="18"/>
      <c r="L42" s="2"/>
      <c r="M42" s="2"/>
      <c r="N42" s="2"/>
      <c r="R42" s="2"/>
      <c r="T42" s="2"/>
    </row>
    <row r="43" spans="1:20" ht="18" customHeight="1" x14ac:dyDescent="0.3">
      <c r="A43" s="66"/>
      <c r="B43" s="7" t="s">
        <v>12</v>
      </c>
      <c r="C43" s="10">
        <f t="shared" ref="C43:C50" si="12">H5</f>
        <v>2.8317901234567899E-2</v>
      </c>
      <c r="D43" s="10">
        <f t="shared" si="10"/>
        <v>2.4922839506172838E-2</v>
      </c>
      <c r="E43" s="8">
        <f t="shared" si="11"/>
        <v>9.1512345679012355E-2</v>
      </c>
      <c r="F43" s="8">
        <f t="shared" ref="F43:F55" si="13">Q5</f>
        <v>0.12276234567901234</v>
      </c>
      <c r="G43" s="18"/>
      <c r="H43" s="18"/>
      <c r="L43" s="2"/>
      <c r="M43" s="2"/>
      <c r="N43" s="2"/>
      <c r="R43" s="2"/>
      <c r="T43" s="2"/>
    </row>
    <row r="44" spans="1:20" ht="18" customHeight="1" x14ac:dyDescent="0.3">
      <c r="A44" s="66"/>
      <c r="B44" s="7" t="s">
        <v>13</v>
      </c>
      <c r="C44" s="10">
        <f t="shared" si="12"/>
        <v>0.25069444444444444</v>
      </c>
      <c r="D44" s="10">
        <f t="shared" si="10"/>
        <v>7.9166666666666663E-2</v>
      </c>
      <c r="E44" s="8">
        <f t="shared" si="11"/>
        <v>0.31388888888888888</v>
      </c>
      <c r="F44" s="8">
        <f t="shared" si="13"/>
        <v>0.13993055555555556</v>
      </c>
      <c r="G44" s="18"/>
      <c r="H44" s="18"/>
      <c r="L44" s="2"/>
      <c r="M44" s="2"/>
      <c r="N44" s="2"/>
      <c r="R44" s="2"/>
      <c r="T44" s="2"/>
    </row>
    <row r="45" spans="1:20" ht="18" customHeight="1" x14ac:dyDescent="0.3">
      <c r="A45" s="67"/>
      <c r="B45" s="7" t="s">
        <v>47</v>
      </c>
      <c r="C45" s="10">
        <f t="shared" si="12"/>
        <v>0.1423611111111111</v>
      </c>
      <c r="D45" s="10">
        <f t="shared" si="10"/>
        <v>0</v>
      </c>
      <c r="E45" s="8">
        <f t="shared" si="11"/>
        <v>0</v>
      </c>
      <c r="F45" s="8">
        <f t="shared" si="13"/>
        <v>0.14027777777777778</v>
      </c>
      <c r="G45" s="18"/>
      <c r="H45" s="18"/>
      <c r="L45" s="2"/>
      <c r="M45" s="2"/>
      <c r="N45" s="2"/>
      <c r="R45" s="2"/>
      <c r="T45" s="2"/>
    </row>
    <row r="46" spans="1:20" ht="18" customHeight="1" x14ac:dyDescent="0.3">
      <c r="A46" s="65" t="s">
        <v>91</v>
      </c>
      <c r="B46" s="7" t="s">
        <v>93</v>
      </c>
      <c r="C46" s="10">
        <f t="shared" si="12"/>
        <v>6.8775720164609061E-2</v>
      </c>
      <c r="D46" s="10">
        <f t="shared" si="10"/>
        <v>4.9151234567901221E-2</v>
      </c>
      <c r="E46" s="8">
        <f t="shared" si="11"/>
        <v>0.14822530864197533</v>
      </c>
      <c r="F46" s="8">
        <f t="shared" si="13"/>
        <v>0.13711419753086418</v>
      </c>
      <c r="G46" s="18"/>
      <c r="H46" s="18"/>
      <c r="L46" s="2"/>
      <c r="M46" s="2"/>
      <c r="N46" s="2"/>
      <c r="R46" s="2"/>
      <c r="T46" s="2"/>
    </row>
    <row r="47" spans="1:20" ht="18" customHeight="1" x14ac:dyDescent="0.3">
      <c r="A47" s="66"/>
      <c r="B47" s="7" t="s">
        <v>92</v>
      </c>
      <c r="C47" s="10">
        <f t="shared" si="12"/>
        <v>0.11150173611111112</v>
      </c>
      <c r="D47" s="10">
        <f t="shared" si="10"/>
        <v>5.3081597222222221E-2</v>
      </c>
      <c r="E47" s="8">
        <f t="shared" si="11"/>
        <v>0.11362847222222222</v>
      </c>
      <c r="F47" s="8">
        <f t="shared" si="13"/>
        <v>9.8379629629629636E-2</v>
      </c>
      <c r="G47" s="18"/>
      <c r="H47" s="18"/>
      <c r="L47" s="2"/>
      <c r="M47" s="2"/>
      <c r="N47" s="2"/>
      <c r="R47" s="2"/>
      <c r="T47" s="2"/>
    </row>
    <row r="48" spans="1:20" ht="18" customHeight="1" x14ac:dyDescent="0.3">
      <c r="A48" s="66"/>
      <c r="B48" s="7" t="s">
        <v>94</v>
      </c>
      <c r="C48" s="10">
        <f t="shared" si="12"/>
        <v>3.0941358024691352E-2</v>
      </c>
      <c r="D48" s="10">
        <f t="shared" si="10"/>
        <v>4.3981481481481483E-2</v>
      </c>
      <c r="E48" s="8">
        <f t="shared" si="11"/>
        <v>2.5655864197530864E-2</v>
      </c>
      <c r="F48" s="8">
        <f>Q10</f>
        <v>6.358024691358026E-2</v>
      </c>
      <c r="G48" s="18"/>
      <c r="H48" s="18"/>
      <c r="L48" s="2"/>
      <c r="M48" s="2"/>
      <c r="N48" s="2"/>
      <c r="R48" s="2"/>
      <c r="T48" s="2"/>
    </row>
    <row r="49" spans="1:46" ht="18" customHeight="1" x14ac:dyDescent="0.3">
      <c r="A49" s="66"/>
      <c r="B49" s="7" t="s">
        <v>95</v>
      </c>
      <c r="C49" s="10">
        <f t="shared" si="12"/>
        <v>0</v>
      </c>
      <c r="D49" s="10">
        <f t="shared" si="10"/>
        <v>0</v>
      </c>
      <c r="E49" s="8">
        <f t="shared" si="11"/>
        <v>6.7708333333333343E-2</v>
      </c>
      <c r="F49" s="8">
        <f t="shared" si="13"/>
        <v>0</v>
      </c>
      <c r="G49" s="18"/>
      <c r="H49" s="18"/>
      <c r="L49" s="2"/>
      <c r="M49" s="2"/>
      <c r="N49" s="2"/>
      <c r="R49" s="2"/>
      <c r="T49" s="2"/>
    </row>
    <row r="50" spans="1:46" ht="18" customHeight="1" x14ac:dyDescent="0.3">
      <c r="A50" s="67"/>
      <c r="B50" s="7" t="s">
        <v>96</v>
      </c>
      <c r="C50" s="10">
        <f t="shared" si="12"/>
        <v>2.5347222222222222E-2</v>
      </c>
      <c r="D50" s="10">
        <f t="shared" si="10"/>
        <v>0</v>
      </c>
      <c r="E50" s="8">
        <f t="shared" ref="E50:E55" si="14">N12</f>
        <v>2.4652777777777777E-2</v>
      </c>
      <c r="F50" s="8">
        <f t="shared" si="13"/>
        <v>2.6041666666666668E-2</v>
      </c>
      <c r="G50" s="18"/>
      <c r="H50" s="18"/>
      <c r="L50" s="2"/>
      <c r="M50" s="2"/>
      <c r="N50" s="2"/>
      <c r="R50" s="2"/>
      <c r="T50" s="2"/>
    </row>
    <row r="51" spans="1:46" ht="18" customHeight="1" x14ac:dyDescent="0.3">
      <c r="A51" s="12" t="s">
        <v>7</v>
      </c>
      <c r="B51" s="13" t="s">
        <v>7</v>
      </c>
      <c r="C51" s="10">
        <f t="shared" ref="C51:C54" si="15">H13</f>
        <v>0.15208333333333335</v>
      </c>
      <c r="D51" s="10">
        <f t="shared" ref="D51:D54" si="16">K13</f>
        <v>0</v>
      </c>
      <c r="E51" s="8">
        <f t="shared" si="14"/>
        <v>0.31354166666666666</v>
      </c>
      <c r="F51" s="8">
        <f t="shared" si="13"/>
        <v>4.7569444444444442E-2</v>
      </c>
      <c r="G51" s="18"/>
      <c r="H51" s="18"/>
      <c r="L51" s="2"/>
      <c r="M51" s="2"/>
      <c r="N51" s="2"/>
      <c r="R51" s="2"/>
      <c r="T51" s="2"/>
    </row>
    <row r="52" spans="1:46" ht="18" customHeight="1" x14ac:dyDescent="0.3">
      <c r="A52" s="12" t="s">
        <v>8</v>
      </c>
      <c r="B52" s="13" t="s">
        <v>8</v>
      </c>
      <c r="C52" s="10">
        <f t="shared" si="15"/>
        <v>0</v>
      </c>
      <c r="D52" s="10">
        <f t="shared" si="16"/>
        <v>0</v>
      </c>
      <c r="E52" s="8">
        <f t="shared" si="14"/>
        <v>0</v>
      </c>
      <c r="F52" s="8">
        <f t="shared" si="13"/>
        <v>0</v>
      </c>
      <c r="G52" s="18"/>
      <c r="H52" s="18"/>
      <c r="L52" s="2"/>
      <c r="M52" s="2"/>
      <c r="N52" s="2"/>
      <c r="R52" s="2"/>
      <c r="T52" s="2"/>
    </row>
    <row r="53" spans="1:46" ht="18" customHeight="1" x14ac:dyDescent="0.3">
      <c r="A53" s="12" t="s">
        <v>9</v>
      </c>
      <c r="B53" s="13" t="s">
        <v>9</v>
      </c>
      <c r="C53" s="10">
        <f t="shared" si="15"/>
        <v>0</v>
      </c>
      <c r="D53" s="10">
        <f t="shared" si="16"/>
        <v>0</v>
      </c>
      <c r="E53" s="8">
        <f t="shared" si="14"/>
        <v>0</v>
      </c>
      <c r="F53" s="8">
        <f t="shared" si="13"/>
        <v>0</v>
      </c>
      <c r="G53" s="18"/>
      <c r="H53" s="18"/>
      <c r="L53" s="2"/>
      <c r="M53" s="2"/>
      <c r="N53" s="2"/>
      <c r="R53" s="2"/>
      <c r="T53" s="2"/>
    </row>
    <row r="54" spans="1:46" ht="18" customHeight="1" x14ac:dyDescent="0.3">
      <c r="A54" s="12" t="s">
        <v>10</v>
      </c>
      <c r="B54" s="13" t="s">
        <v>10</v>
      </c>
      <c r="C54" s="10">
        <f t="shared" si="15"/>
        <v>0</v>
      </c>
      <c r="D54" s="10">
        <f t="shared" si="16"/>
        <v>0</v>
      </c>
      <c r="E54" s="8">
        <f t="shared" si="14"/>
        <v>1.2000000000000002</v>
      </c>
      <c r="F54" s="8">
        <f t="shared" si="13"/>
        <v>0</v>
      </c>
      <c r="G54" s="18"/>
      <c r="H54" s="18"/>
      <c r="L54" s="2"/>
      <c r="M54" s="2"/>
      <c r="N54" s="2"/>
      <c r="R54" s="2"/>
      <c r="T54" s="2"/>
    </row>
    <row r="55" spans="1:46" ht="18" customHeight="1" x14ac:dyDescent="0.3">
      <c r="A55" s="12" t="s">
        <v>11</v>
      </c>
      <c r="B55" s="13" t="s">
        <v>11</v>
      </c>
      <c r="C55" s="10">
        <f>H17</f>
        <v>4.1319444444444443E-2</v>
      </c>
      <c r="D55" s="10">
        <f>K17</f>
        <v>0</v>
      </c>
      <c r="E55" s="8">
        <f t="shared" si="14"/>
        <v>0.22013888888888888</v>
      </c>
      <c r="F55" s="8">
        <f t="shared" si="13"/>
        <v>7.5694444444444439E-2</v>
      </c>
      <c r="G55" s="18"/>
      <c r="H55" s="18"/>
      <c r="L55" s="2"/>
      <c r="M55" s="2"/>
      <c r="N55" s="2"/>
      <c r="R55" s="2"/>
      <c r="T55" s="2"/>
    </row>
    <row r="56" spans="1:46" ht="18" customHeight="1" x14ac:dyDescent="0.3">
      <c r="A56" s="41" t="s">
        <v>42</v>
      </c>
      <c r="B56" s="42"/>
      <c r="C56" s="43">
        <f>H18</f>
        <v>6.471661054994389E-2</v>
      </c>
      <c r="D56" s="43">
        <f>K18</f>
        <v>4.0242704826038159E-2</v>
      </c>
      <c r="E56" s="43">
        <f>N18</f>
        <v>0.1505822109988777</v>
      </c>
      <c r="F56" s="43">
        <f>Q18</f>
        <v>0.16335742630385489</v>
      </c>
      <c r="G56" s="18"/>
      <c r="H56" s="18"/>
      <c r="L56" s="2"/>
      <c r="M56" s="2"/>
      <c r="N56" s="2"/>
      <c r="R56" s="2"/>
      <c r="T56" s="2"/>
    </row>
    <row r="59" spans="1:46" ht="27.75" customHeight="1" x14ac:dyDescent="0.3">
      <c r="A59" s="48" t="s">
        <v>124</v>
      </c>
      <c r="B59" s="48"/>
      <c r="C59" s="48"/>
      <c r="D59" s="48"/>
    </row>
    <row r="60" spans="1:46" ht="16.5" customHeight="1" x14ac:dyDescent="0.3">
      <c r="A60" s="4" t="s">
        <v>0</v>
      </c>
      <c r="B60" s="3" t="s">
        <v>4</v>
      </c>
      <c r="C60" s="4" t="s">
        <v>51</v>
      </c>
      <c r="D60" s="4" t="s">
        <v>50</v>
      </c>
    </row>
    <row r="61" spans="1:46" ht="16.5" customHeight="1" x14ac:dyDescent="0.3">
      <c r="A61" s="44" t="s">
        <v>54</v>
      </c>
      <c r="B61" s="8">
        <f>SUM(C4:C7)</f>
        <v>18.213888888888889</v>
      </c>
      <c r="C61" s="9">
        <f>SUM(D4:D7)</f>
        <v>23</v>
      </c>
      <c r="D61" s="8">
        <f>B61/C61</f>
        <v>0.79190821256038646</v>
      </c>
    </row>
    <row r="62" spans="1:46" s="18" customFormat="1" ht="16.5" customHeight="1" x14ac:dyDescent="0.3">
      <c r="A62" s="44" t="s">
        <v>91</v>
      </c>
      <c r="B62" s="8">
        <f>SUM(C8:C12)</f>
        <v>20.193055555555556</v>
      </c>
      <c r="C62" s="9">
        <f>SUM(D8:D12)</f>
        <v>67</v>
      </c>
      <c r="D62" s="8">
        <f t="shared" ref="D62:D67" si="17">B62/C62</f>
        <v>0.30138888888888893</v>
      </c>
      <c r="G62" s="19"/>
      <c r="H62" s="19"/>
      <c r="J62" s="19"/>
      <c r="K62" s="19"/>
      <c r="M62" s="19"/>
      <c r="N62" s="19"/>
      <c r="P62" s="19"/>
      <c r="Q62" s="19"/>
      <c r="S62" s="2"/>
      <c r="T62" s="29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</row>
    <row r="63" spans="1:46" s="18" customFormat="1" ht="16.5" customHeight="1" x14ac:dyDescent="0.3">
      <c r="A63" s="12" t="s">
        <v>7</v>
      </c>
      <c r="B63" s="8">
        <f t="shared" ref="B63:C67" si="18">SUM(C13)</f>
        <v>1.026388888888889</v>
      </c>
      <c r="C63" s="9">
        <f t="shared" si="18"/>
        <v>2</v>
      </c>
      <c r="D63" s="8">
        <f t="shared" si="17"/>
        <v>0.51319444444444451</v>
      </c>
      <c r="G63" s="19"/>
      <c r="H63" s="19"/>
      <c r="J63" s="19"/>
      <c r="K63" s="19"/>
      <c r="M63" s="19"/>
      <c r="N63" s="19"/>
      <c r="P63" s="19"/>
      <c r="Q63" s="19"/>
      <c r="S63" s="2"/>
      <c r="T63" s="29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</row>
    <row r="64" spans="1:46" ht="16.5" customHeight="1" x14ac:dyDescent="0.3">
      <c r="A64" s="12" t="s">
        <v>8</v>
      </c>
      <c r="B64" s="8">
        <f t="shared" si="18"/>
        <v>0</v>
      </c>
      <c r="C64" s="9">
        <f t="shared" si="18"/>
        <v>1</v>
      </c>
      <c r="D64" s="8">
        <f t="shared" si="17"/>
        <v>0</v>
      </c>
    </row>
    <row r="65" spans="1:4" ht="16.5" customHeight="1" x14ac:dyDescent="0.3">
      <c r="A65" s="12" t="s">
        <v>9</v>
      </c>
      <c r="B65" s="8">
        <f t="shared" si="18"/>
        <v>0</v>
      </c>
      <c r="C65" s="9">
        <f t="shared" si="18"/>
        <v>3</v>
      </c>
      <c r="D65" s="8">
        <f t="shared" si="17"/>
        <v>0</v>
      </c>
    </row>
    <row r="66" spans="1:4" ht="16.5" customHeight="1" x14ac:dyDescent="0.3">
      <c r="A66" s="12" t="s">
        <v>10</v>
      </c>
      <c r="B66" s="8">
        <f t="shared" si="18"/>
        <v>1.2000000000000002</v>
      </c>
      <c r="C66" s="9">
        <f t="shared" si="18"/>
        <v>1</v>
      </c>
      <c r="D66" s="8">
        <f t="shared" si="17"/>
        <v>1.2000000000000002</v>
      </c>
    </row>
    <row r="67" spans="1:4" ht="16.5" customHeight="1" x14ac:dyDescent="0.3">
      <c r="A67" s="12" t="s">
        <v>11</v>
      </c>
      <c r="B67" s="8">
        <f t="shared" si="18"/>
        <v>0.6743055555555556</v>
      </c>
      <c r="C67" s="9">
        <f t="shared" si="18"/>
        <v>2</v>
      </c>
      <c r="D67" s="8">
        <f t="shared" si="17"/>
        <v>0.3371527777777778</v>
      </c>
    </row>
    <row r="68" spans="1:4" ht="16.5" customHeight="1" x14ac:dyDescent="0.3">
      <c r="A68" s="41" t="s">
        <v>42</v>
      </c>
      <c r="B68" s="3">
        <f>SUM(B61:B67)</f>
        <v>41.307638888888896</v>
      </c>
      <c r="C68" s="4">
        <f>SUM(C61:C67)</f>
        <v>99</v>
      </c>
      <c r="D68" s="3">
        <f>B68/C68</f>
        <v>0.41724887766554442</v>
      </c>
    </row>
  </sheetData>
  <mergeCells count="16">
    <mergeCell ref="A42:A45"/>
    <mergeCell ref="A46:A50"/>
    <mergeCell ref="A59:D59"/>
    <mergeCell ref="R2:R3"/>
    <mergeCell ref="A4:A7"/>
    <mergeCell ref="A8:A12"/>
    <mergeCell ref="A1:R1"/>
    <mergeCell ref="A2:A3"/>
    <mergeCell ref="B2:B3"/>
    <mergeCell ref="C2:C3"/>
    <mergeCell ref="D2:D3"/>
    <mergeCell ref="E2:E3"/>
    <mergeCell ref="F2:H2"/>
    <mergeCell ref="I2:K2"/>
    <mergeCell ref="L2:N2"/>
    <mergeCell ref="O2:Q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04149-ED1B-44C2-8266-9A88C74A4492}">
  <sheetPr>
    <tabColor rgb="FF0070C0"/>
  </sheetPr>
  <dimension ref="A1:I34"/>
  <sheetViews>
    <sheetView workbookViewId="0">
      <pane ySplit="2" topLeftCell="A3" activePane="bottomLeft" state="frozen"/>
      <selection pane="bottomLeft" activeCell="B3" sqref="B3"/>
    </sheetView>
  </sheetViews>
  <sheetFormatPr defaultRowHeight="28.5" customHeight="1" x14ac:dyDescent="0.15"/>
  <cols>
    <col min="1" max="1" width="9" style="40"/>
    <col min="2" max="2" width="14.625" style="40" customWidth="1"/>
    <col min="3" max="4" width="23.5" style="40" bestFit="1" customWidth="1"/>
    <col min="5" max="5" width="14.125" style="19" bestFit="1" customWidth="1"/>
    <col min="6" max="6" width="11.875" style="40" bestFit="1" customWidth="1"/>
    <col min="7" max="7" width="19.75" style="40" bestFit="1" customWidth="1"/>
    <col min="8" max="8" width="15.375" style="40" bestFit="1" customWidth="1"/>
    <col min="9" max="16384" width="9" style="40"/>
  </cols>
  <sheetData>
    <row r="1" spans="1:9" ht="36" customHeight="1" x14ac:dyDescent="0.15">
      <c r="A1" s="68" t="s">
        <v>101</v>
      </c>
      <c r="B1" s="69"/>
      <c r="C1" s="69"/>
      <c r="D1" s="69"/>
      <c r="E1" s="69"/>
      <c r="F1" s="69"/>
      <c r="G1" s="69"/>
      <c r="H1" s="70"/>
    </row>
    <row r="2" spans="1:9" ht="33.75" customHeight="1" x14ac:dyDescent="0.15">
      <c r="A2" s="35" t="s">
        <v>14</v>
      </c>
      <c r="B2" s="35" t="s">
        <v>15</v>
      </c>
      <c r="C2" s="35" t="s">
        <v>16</v>
      </c>
      <c r="D2" s="35" t="s">
        <v>1</v>
      </c>
      <c r="E2" s="36" t="s">
        <v>4</v>
      </c>
      <c r="F2" s="35" t="s">
        <v>17</v>
      </c>
      <c r="G2" s="35" t="s">
        <v>46</v>
      </c>
      <c r="H2" s="35" t="s">
        <v>18</v>
      </c>
    </row>
    <row r="3" spans="1:9" ht="28.5" customHeight="1" x14ac:dyDescent="0.15">
      <c r="A3" s="9">
        <v>1</v>
      </c>
      <c r="B3" s="9" t="s">
        <v>33</v>
      </c>
      <c r="C3" s="9" t="s">
        <v>98</v>
      </c>
      <c r="D3" s="9" t="s">
        <v>90</v>
      </c>
      <c r="E3" s="38">
        <v>0.81458333333333344</v>
      </c>
      <c r="F3" s="9">
        <v>7</v>
      </c>
      <c r="G3" s="38">
        <f t="shared" ref="G3:G34" si="0">E3/F3</f>
        <v>0.11636904761904764</v>
      </c>
      <c r="H3" s="9"/>
      <c r="I3"/>
    </row>
    <row r="4" spans="1:9" ht="28.5" customHeight="1" x14ac:dyDescent="0.15">
      <c r="A4" s="9">
        <v>2</v>
      </c>
      <c r="B4" s="9" t="s">
        <v>26</v>
      </c>
      <c r="C4" s="9" t="s">
        <v>98</v>
      </c>
      <c r="D4" s="9" t="s">
        <v>89</v>
      </c>
      <c r="E4" s="38">
        <v>0.77152777777777781</v>
      </c>
      <c r="F4" s="9">
        <v>3</v>
      </c>
      <c r="G4" s="38">
        <f t="shared" si="0"/>
        <v>0.25717592592592592</v>
      </c>
      <c r="H4" s="9"/>
      <c r="I4"/>
    </row>
    <row r="5" spans="1:9" ht="28.5" customHeight="1" x14ac:dyDescent="0.15">
      <c r="A5" s="9">
        <v>3</v>
      </c>
      <c r="B5" s="9" t="s">
        <v>22</v>
      </c>
      <c r="C5" s="9" t="s">
        <v>21</v>
      </c>
      <c r="D5" s="9" t="s">
        <v>52</v>
      </c>
      <c r="E5" s="38">
        <v>0.57916666666666661</v>
      </c>
      <c r="F5" s="9">
        <v>8</v>
      </c>
      <c r="G5" s="38">
        <f t="shared" si="0"/>
        <v>7.2395833333333326E-2</v>
      </c>
      <c r="H5" s="9"/>
      <c r="I5"/>
    </row>
    <row r="6" spans="1:9" ht="28.5" customHeight="1" x14ac:dyDescent="0.15">
      <c r="A6" s="9">
        <v>4</v>
      </c>
      <c r="B6" s="9" t="s">
        <v>59</v>
      </c>
      <c r="C6" s="9" t="s">
        <v>98</v>
      </c>
      <c r="D6" s="9" t="s">
        <v>90</v>
      </c>
      <c r="E6" s="38">
        <v>0.39513888888888887</v>
      </c>
      <c r="F6" s="9">
        <v>5</v>
      </c>
      <c r="G6" s="38">
        <f t="shared" si="0"/>
        <v>7.902777777777778E-2</v>
      </c>
      <c r="H6" s="9"/>
      <c r="I6"/>
    </row>
    <row r="7" spans="1:9" ht="28.5" customHeight="1" x14ac:dyDescent="0.15">
      <c r="A7" s="9">
        <v>5</v>
      </c>
      <c r="B7" s="9" t="s">
        <v>39</v>
      </c>
      <c r="C7" s="9" t="s">
        <v>7</v>
      </c>
      <c r="D7" s="9" t="s">
        <v>7</v>
      </c>
      <c r="E7" s="38">
        <v>0.3041666666666667</v>
      </c>
      <c r="F7" s="9">
        <v>3</v>
      </c>
      <c r="G7" s="38">
        <f t="shared" si="0"/>
        <v>0.1013888888888889</v>
      </c>
      <c r="H7" s="9"/>
      <c r="I7"/>
    </row>
    <row r="8" spans="1:9" ht="28.5" customHeight="1" x14ac:dyDescent="0.15">
      <c r="A8" s="9">
        <v>6</v>
      </c>
      <c r="B8" s="9" t="s">
        <v>58</v>
      </c>
      <c r="C8" s="9" t="s">
        <v>98</v>
      </c>
      <c r="D8" s="9" t="s">
        <v>89</v>
      </c>
      <c r="E8" s="38">
        <v>0.28472222222222221</v>
      </c>
      <c r="F8" s="9">
        <v>4</v>
      </c>
      <c r="G8" s="38">
        <f t="shared" si="0"/>
        <v>7.1180555555555552E-2</v>
      </c>
      <c r="H8" s="9"/>
      <c r="I8"/>
    </row>
    <row r="9" spans="1:9" ht="28.5" customHeight="1" x14ac:dyDescent="0.15">
      <c r="A9" s="9">
        <v>7</v>
      </c>
      <c r="B9" s="9" t="s">
        <v>29</v>
      </c>
      <c r="C9" s="9" t="s">
        <v>21</v>
      </c>
      <c r="D9" s="9" t="s">
        <v>13</v>
      </c>
      <c r="E9" s="38">
        <v>0.25347222222222221</v>
      </c>
      <c r="F9" s="9">
        <v>4</v>
      </c>
      <c r="G9" s="38">
        <f t="shared" si="0"/>
        <v>6.3368055555555552E-2</v>
      </c>
      <c r="H9" s="9"/>
      <c r="I9"/>
    </row>
    <row r="10" spans="1:9" ht="28.5" customHeight="1" x14ac:dyDescent="0.15">
      <c r="A10" s="9">
        <v>8</v>
      </c>
      <c r="B10" s="9" t="s">
        <v>65</v>
      </c>
      <c r="C10" s="9" t="s">
        <v>21</v>
      </c>
      <c r="D10" s="9" t="s">
        <v>13</v>
      </c>
      <c r="E10" s="38">
        <v>0.24791666666666667</v>
      </c>
      <c r="F10" s="9">
        <v>4</v>
      </c>
      <c r="G10" s="38">
        <f t="shared" si="0"/>
        <v>6.1979166666666669E-2</v>
      </c>
      <c r="H10" s="9"/>
      <c r="I10"/>
    </row>
    <row r="11" spans="1:9" ht="28.5" customHeight="1" x14ac:dyDescent="0.15">
      <c r="A11" s="9">
        <v>9</v>
      </c>
      <c r="B11" s="9" t="s">
        <v>34</v>
      </c>
      <c r="C11" s="9" t="s">
        <v>98</v>
      </c>
      <c r="D11" s="9" t="s">
        <v>89</v>
      </c>
      <c r="E11" s="38">
        <v>0.21736111111111112</v>
      </c>
      <c r="F11" s="9">
        <v>5</v>
      </c>
      <c r="G11" s="38">
        <f t="shared" si="0"/>
        <v>4.3472222222222225E-2</v>
      </c>
      <c r="H11" s="9"/>
      <c r="I11"/>
    </row>
    <row r="12" spans="1:9" ht="28.5" customHeight="1" x14ac:dyDescent="0.15">
      <c r="A12" s="9">
        <v>10</v>
      </c>
      <c r="B12" s="9" t="s">
        <v>49</v>
      </c>
      <c r="C12" s="9" t="s">
        <v>21</v>
      </c>
      <c r="D12" s="9" t="s">
        <v>52</v>
      </c>
      <c r="E12" s="38">
        <v>0.19930555555555557</v>
      </c>
      <c r="F12" s="9">
        <v>3</v>
      </c>
      <c r="G12" s="38">
        <f t="shared" si="0"/>
        <v>6.6435185185185194E-2</v>
      </c>
      <c r="H12" s="9"/>
      <c r="I12"/>
    </row>
    <row r="13" spans="1:9" ht="28.5" customHeight="1" x14ac:dyDescent="0.15">
      <c r="A13" s="9">
        <v>11</v>
      </c>
      <c r="B13" s="9" t="s">
        <v>68</v>
      </c>
      <c r="C13" s="9" t="s">
        <v>98</v>
      </c>
      <c r="D13" s="9" t="s">
        <v>99</v>
      </c>
      <c r="E13" s="38">
        <v>0.18749999999999997</v>
      </c>
      <c r="F13" s="9">
        <v>4</v>
      </c>
      <c r="G13" s="38">
        <f t="shared" si="0"/>
        <v>4.6874999999999993E-2</v>
      </c>
      <c r="H13" s="9"/>
      <c r="I13"/>
    </row>
    <row r="14" spans="1:9" ht="28.5" customHeight="1" x14ac:dyDescent="0.15">
      <c r="A14" s="9">
        <v>12</v>
      </c>
      <c r="B14" s="9" t="s">
        <v>64</v>
      </c>
      <c r="C14" s="9" t="s">
        <v>21</v>
      </c>
      <c r="D14" s="9" t="s">
        <v>12</v>
      </c>
      <c r="E14" s="38">
        <v>0.16805555555555557</v>
      </c>
      <c r="F14" s="9">
        <v>2</v>
      </c>
      <c r="G14" s="38">
        <f t="shared" si="0"/>
        <v>8.4027777777777785E-2</v>
      </c>
      <c r="H14" s="9"/>
      <c r="I14"/>
    </row>
    <row r="15" spans="1:9" ht="28.5" customHeight="1" x14ac:dyDescent="0.15">
      <c r="A15" s="9">
        <v>13</v>
      </c>
      <c r="B15" s="9" t="s">
        <v>84</v>
      </c>
      <c r="C15" s="9" t="s">
        <v>98</v>
      </c>
      <c r="D15" s="9" t="s">
        <v>90</v>
      </c>
      <c r="E15" s="38">
        <v>0.16388888888888886</v>
      </c>
      <c r="F15" s="9">
        <v>3</v>
      </c>
      <c r="G15" s="38">
        <f t="shared" si="0"/>
        <v>5.4629629629629618E-2</v>
      </c>
      <c r="H15" s="9"/>
      <c r="I15"/>
    </row>
    <row r="16" spans="1:9" ht="28.5" customHeight="1" x14ac:dyDescent="0.15">
      <c r="A16" s="9">
        <v>14</v>
      </c>
      <c r="B16" s="9" t="s">
        <v>25</v>
      </c>
      <c r="C16" s="9" t="s">
        <v>98</v>
      </c>
      <c r="D16" s="9" t="s">
        <v>89</v>
      </c>
      <c r="E16" s="38">
        <v>0.15902777777777777</v>
      </c>
      <c r="F16" s="9">
        <v>2</v>
      </c>
      <c r="G16" s="38">
        <f t="shared" si="0"/>
        <v>7.9513888888888884E-2</v>
      </c>
      <c r="H16" s="9"/>
      <c r="I16"/>
    </row>
    <row r="17" spans="1:9" ht="28.5" customHeight="1" x14ac:dyDescent="0.15">
      <c r="A17" s="9">
        <v>15</v>
      </c>
      <c r="B17" s="9" t="s">
        <v>19</v>
      </c>
      <c r="C17" s="9" t="s">
        <v>98</v>
      </c>
      <c r="D17" s="9" t="s">
        <v>89</v>
      </c>
      <c r="E17" s="38">
        <v>0.14652777777777778</v>
      </c>
      <c r="F17" s="9">
        <v>1</v>
      </c>
      <c r="G17" s="38">
        <f t="shared" si="0"/>
        <v>0.14652777777777778</v>
      </c>
      <c r="H17" s="9"/>
      <c r="I17"/>
    </row>
    <row r="18" spans="1:9" ht="28.5" customHeight="1" x14ac:dyDescent="0.15">
      <c r="A18" s="9">
        <v>16</v>
      </c>
      <c r="B18" s="9" t="s">
        <v>45</v>
      </c>
      <c r="C18" s="9" t="s">
        <v>21</v>
      </c>
      <c r="D18" s="9" t="s">
        <v>53</v>
      </c>
      <c r="E18" s="38">
        <v>0.1423611111111111</v>
      </c>
      <c r="F18" s="9">
        <v>2</v>
      </c>
      <c r="G18" s="38">
        <f t="shared" si="0"/>
        <v>7.1180555555555552E-2</v>
      </c>
      <c r="H18" s="9"/>
      <c r="I18"/>
    </row>
    <row r="19" spans="1:9" ht="28.5" customHeight="1" x14ac:dyDescent="0.15">
      <c r="A19" s="9">
        <v>17</v>
      </c>
      <c r="B19" s="9" t="s">
        <v>40</v>
      </c>
      <c r="C19" s="9" t="s">
        <v>98</v>
      </c>
      <c r="D19" s="9" t="s">
        <v>90</v>
      </c>
      <c r="E19" s="38">
        <v>0.11736111111111111</v>
      </c>
      <c r="F19" s="9">
        <v>1</v>
      </c>
      <c r="G19" s="38">
        <f t="shared" si="0"/>
        <v>0.11736111111111111</v>
      </c>
      <c r="H19" s="9"/>
      <c r="I19"/>
    </row>
    <row r="20" spans="1:9" ht="28.5" customHeight="1" x14ac:dyDescent="0.15">
      <c r="A20" s="9">
        <v>18</v>
      </c>
      <c r="B20" s="9" t="s">
        <v>35</v>
      </c>
      <c r="C20" s="9" t="s">
        <v>98</v>
      </c>
      <c r="D20" s="9" t="s">
        <v>90</v>
      </c>
      <c r="E20" s="38">
        <v>0.11666666666666667</v>
      </c>
      <c r="F20" s="9">
        <v>1</v>
      </c>
      <c r="G20" s="38">
        <f t="shared" si="0"/>
        <v>0.11666666666666667</v>
      </c>
      <c r="H20" s="9"/>
      <c r="I20"/>
    </row>
    <row r="21" spans="1:9" ht="28.5" customHeight="1" x14ac:dyDescent="0.15">
      <c r="A21" s="9">
        <v>19</v>
      </c>
      <c r="B21" s="9" t="s">
        <v>79</v>
      </c>
      <c r="C21" s="9" t="s">
        <v>98</v>
      </c>
      <c r="D21" s="9" t="s">
        <v>99</v>
      </c>
      <c r="E21" s="38">
        <v>0.11597222222222223</v>
      </c>
      <c r="F21" s="9">
        <v>2</v>
      </c>
      <c r="G21" s="38">
        <f t="shared" si="0"/>
        <v>5.7986111111111113E-2</v>
      </c>
      <c r="H21" s="9"/>
    </row>
    <row r="22" spans="1:9" ht="28.5" customHeight="1" x14ac:dyDescent="0.15">
      <c r="A22" s="9">
        <v>20</v>
      </c>
      <c r="B22" s="9" t="s">
        <v>31</v>
      </c>
      <c r="C22" s="9" t="s">
        <v>98</v>
      </c>
      <c r="D22" s="9" t="s">
        <v>99</v>
      </c>
      <c r="E22" s="38">
        <v>0.11041666666666666</v>
      </c>
      <c r="F22" s="9">
        <v>1</v>
      </c>
      <c r="G22" s="38">
        <f t="shared" si="0"/>
        <v>0.11041666666666666</v>
      </c>
      <c r="H22" s="9"/>
    </row>
    <row r="23" spans="1:9" ht="28.5" customHeight="1" x14ac:dyDescent="0.15">
      <c r="A23" s="9">
        <v>21</v>
      </c>
      <c r="B23" s="9" t="s">
        <v>23</v>
      </c>
      <c r="C23" s="9" t="s">
        <v>98</v>
      </c>
      <c r="D23" s="9" t="s">
        <v>89</v>
      </c>
      <c r="E23" s="38">
        <v>0.10347222222222222</v>
      </c>
      <c r="F23" s="9">
        <v>2</v>
      </c>
      <c r="G23" s="38">
        <f t="shared" si="0"/>
        <v>5.1736111111111108E-2</v>
      </c>
      <c r="H23" s="9"/>
    </row>
    <row r="24" spans="1:9" ht="28.5" customHeight="1" x14ac:dyDescent="0.15">
      <c r="A24" s="9">
        <v>22</v>
      </c>
      <c r="B24" s="9" t="s">
        <v>70</v>
      </c>
      <c r="C24" s="9" t="s">
        <v>98</v>
      </c>
      <c r="D24" s="9" t="s">
        <v>90</v>
      </c>
      <c r="E24" s="38">
        <v>9.7916666666666666E-2</v>
      </c>
      <c r="F24" s="9">
        <v>1</v>
      </c>
      <c r="G24" s="38">
        <f t="shared" si="0"/>
        <v>9.7916666666666666E-2</v>
      </c>
      <c r="H24" s="9"/>
    </row>
    <row r="25" spans="1:9" ht="28.5" customHeight="1" x14ac:dyDescent="0.15">
      <c r="A25" s="9">
        <v>23</v>
      </c>
      <c r="B25" s="9" t="s">
        <v>81</v>
      </c>
      <c r="C25" s="9" t="s">
        <v>21</v>
      </c>
      <c r="D25" s="9" t="s">
        <v>52</v>
      </c>
      <c r="E25" s="38">
        <v>9.4444444444444442E-2</v>
      </c>
      <c r="F25" s="9">
        <v>1</v>
      </c>
      <c r="G25" s="38">
        <f t="shared" si="0"/>
        <v>9.4444444444444442E-2</v>
      </c>
      <c r="H25" s="9"/>
    </row>
    <row r="26" spans="1:9" ht="28.5" customHeight="1" x14ac:dyDescent="0.15">
      <c r="A26" s="9">
        <v>24</v>
      </c>
      <c r="B26" s="9" t="s">
        <v>28</v>
      </c>
      <c r="C26" s="9" t="s">
        <v>21</v>
      </c>
      <c r="D26" s="9" t="s">
        <v>12</v>
      </c>
      <c r="E26" s="38">
        <v>8.6805555555555552E-2</v>
      </c>
      <c r="F26" s="9">
        <v>1</v>
      </c>
      <c r="G26" s="38">
        <f t="shared" si="0"/>
        <v>8.6805555555555552E-2</v>
      </c>
      <c r="H26" s="9"/>
    </row>
    <row r="27" spans="1:9" ht="28.5" customHeight="1" x14ac:dyDescent="0.15">
      <c r="A27" s="9">
        <v>25</v>
      </c>
      <c r="B27" s="9" t="s">
        <v>20</v>
      </c>
      <c r="C27" s="9" t="s">
        <v>98</v>
      </c>
      <c r="D27" s="9" t="s">
        <v>89</v>
      </c>
      <c r="E27" s="38">
        <v>8.4722222222222227E-2</v>
      </c>
      <c r="F27" s="9">
        <v>1</v>
      </c>
      <c r="G27" s="38">
        <f t="shared" si="0"/>
        <v>8.4722222222222227E-2</v>
      </c>
      <c r="H27" s="9"/>
    </row>
    <row r="28" spans="1:9" ht="28.5" customHeight="1" x14ac:dyDescent="0.15">
      <c r="A28" s="9">
        <v>26</v>
      </c>
      <c r="B28" s="9" t="s">
        <v>88</v>
      </c>
      <c r="C28" s="9" t="s">
        <v>11</v>
      </c>
      <c r="D28" s="9" t="s">
        <v>11</v>
      </c>
      <c r="E28" s="38">
        <v>8.2638888888888887E-2</v>
      </c>
      <c r="F28" s="9">
        <v>1</v>
      </c>
      <c r="G28" s="38">
        <f t="shared" si="0"/>
        <v>8.2638888888888887E-2</v>
      </c>
      <c r="H28" s="9"/>
    </row>
    <row r="29" spans="1:9" ht="28.5" customHeight="1" x14ac:dyDescent="0.15">
      <c r="A29" s="9">
        <v>27</v>
      </c>
      <c r="B29" s="9" t="s">
        <v>60</v>
      </c>
      <c r="C29" s="9" t="s">
        <v>98</v>
      </c>
      <c r="D29" s="9" t="s">
        <v>90</v>
      </c>
      <c r="E29" s="38">
        <v>7.8472222222222221E-2</v>
      </c>
      <c r="F29" s="9">
        <v>1</v>
      </c>
      <c r="G29" s="38">
        <f t="shared" si="0"/>
        <v>7.8472222222222221E-2</v>
      </c>
      <c r="H29" s="9"/>
    </row>
    <row r="30" spans="1:9" ht="28.5" customHeight="1" x14ac:dyDescent="0.15">
      <c r="A30" s="9">
        <v>28</v>
      </c>
      <c r="B30" s="9" t="s">
        <v>97</v>
      </c>
      <c r="C30" s="9" t="s">
        <v>98</v>
      </c>
      <c r="D30" s="9" t="s">
        <v>99</v>
      </c>
      <c r="E30" s="38">
        <v>7.8472222222222221E-2</v>
      </c>
      <c r="F30" s="9">
        <v>1</v>
      </c>
      <c r="G30" s="38">
        <f t="shared" si="0"/>
        <v>7.8472222222222221E-2</v>
      </c>
      <c r="H30" s="9"/>
    </row>
    <row r="31" spans="1:9" ht="28.5" customHeight="1" x14ac:dyDescent="0.15">
      <c r="A31" s="9">
        <v>29</v>
      </c>
      <c r="B31" s="9" t="s">
        <v>78</v>
      </c>
      <c r="C31" s="9" t="s">
        <v>98</v>
      </c>
      <c r="D31" s="9" t="s">
        <v>99</v>
      </c>
      <c r="E31" s="38">
        <v>6.458333333333334E-2</v>
      </c>
      <c r="F31" s="9">
        <v>1</v>
      </c>
      <c r="G31" s="38">
        <f t="shared" si="0"/>
        <v>6.458333333333334E-2</v>
      </c>
      <c r="H31" s="9"/>
    </row>
    <row r="32" spans="1:9" ht="28.5" customHeight="1" x14ac:dyDescent="0.15">
      <c r="A32" s="9">
        <v>30</v>
      </c>
      <c r="B32" s="9" t="s">
        <v>61</v>
      </c>
      <c r="C32" s="9" t="s">
        <v>98</v>
      </c>
      <c r="D32" s="9" t="s">
        <v>100</v>
      </c>
      <c r="E32" s="38">
        <v>5.0694444444444445E-2</v>
      </c>
      <c r="F32" s="9">
        <v>1</v>
      </c>
      <c r="G32" s="38">
        <f t="shared" si="0"/>
        <v>5.0694444444444445E-2</v>
      </c>
      <c r="H32" s="9"/>
    </row>
    <row r="33" spans="1:8" ht="28.5" customHeight="1" x14ac:dyDescent="0.15">
      <c r="A33" s="9">
        <v>31</v>
      </c>
      <c r="B33" s="9" t="s">
        <v>38</v>
      </c>
      <c r="C33" s="9" t="s">
        <v>98</v>
      </c>
      <c r="D33" s="9" t="s">
        <v>89</v>
      </c>
      <c r="E33" s="38">
        <v>4.6527777777777779E-2</v>
      </c>
      <c r="F33" s="9">
        <v>1</v>
      </c>
      <c r="G33" s="38">
        <f t="shared" si="0"/>
        <v>4.6527777777777779E-2</v>
      </c>
      <c r="H33" s="9"/>
    </row>
    <row r="34" spans="1:8" ht="28.5" customHeight="1" x14ac:dyDescent="0.15">
      <c r="A34" s="9">
        <v>32</v>
      </c>
      <c r="B34" s="9" t="s">
        <v>86</v>
      </c>
      <c r="C34" s="9" t="s">
        <v>98</v>
      </c>
      <c r="D34" s="9" t="s">
        <v>89</v>
      </c>
      <c r="E34" s="38">
        <v>4.3055555555555555E-2</v>
      </c>
      <c r="F34" s="9">
        <v>1</v>
      </c>
      <c r="G34" s="38">
        <f t="shared" si="0"/>
        <v>4.3055555555555555E-2</v>
      </c>
      <c r="H34" s="9"/>
    </row>
  </sheetData>
  <autoFilter ref="A2:H2" xr:uid="{D0405327-A0F3-4282-B2E0-94C8CE7A8400}"/>
  <sortState xmlns:xlrd2="http://schemas.microsoft.com/office/spreadsheetml/2017/richdata2" ref="A3:H34">
    <sortCondition descending="1" ref="E2:E34"/>
  </sortState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298E3-B834-4D97-9826-47E0133DDC68}">
  <sheetPr>
    <tabColor rgb="FFFFC000"/>
  </sheetPr>
  <dimension ref="A1:J32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B3" sqref="B3"/>
    </sheetView>
  </sheetViews>
  <sheetFormatPr defaultRowHeight="28.5" customHeight="1" x14ac:dyDescent="0.15"/>
  <cols>
    <col min="1" max="1" width="9.75" style="19" bestFit="1" customWidth="1"/>
    <col min="2" max="2" width="19.75" style="39" bestFit="1" customWidth="1"/>
    <col min="3" max="3" width="13.25" style="19" bestFit="1" customWidth="1"/>
    <col min="4" max="4" width="23.5" style="19" bestFit="1" customWidth="1"/>
    <col min="5" max="5" width="15.5" style="19" customWidth="1"/>
    <col min="6" max="6" width="12.125" style="19" customWidth="1"/>
    <col min="7" max="7" width="19.5" style="19" bestFit="1" customWidth="1"/>
    <col min="8" max="8" width="15.375" style="19" bestFit="1" customWidth="1"/>
    <col min="9" max="16384" width="9" style="19"/>
  </cols>
  <sheetData>
    <row r="1" spans="1:10" s="2" customFormat="1" ht="39" customHeight="1" x14ac:dyDescent="0.3">
      <c r="A1" s="68" t="s">
        <v>102</v>
      </c>
      <c r="B1" s="69"/>
      <c r="C1" s="69"/>
      <c r="D1" s="69"/>
      <c r="E1" s="69"/>
      <c r="F1" s="69"/>
      <c r="G1" s="69"/>
      <c r="H1" s="70"/>
    </row>
    <row r="2" spans="1:10" ht="28.5" customHeight="1" x14ac:dyDescent="0.15">
      <c r="A2" s="35" t="s">
        <v>14</v>
      </c>
      <c r="B2" s="35" t="s">
        <v>15</v>
      </c>
      <c r="C2" s="35" t="s">
        <v>16</v>
      </c>
      <c r="D2" s="35" t="s">
        <v>1</v>
      </c>
      <c r="E2" s="36" t="s">
        <v>4</v>
      </c>
      <c r="F2" s="35" t="s">
        <v>17</v>
      </c>
      <c r="G2" s="35" t="s">
        <v>46</v>
      </c>
      <c r="H2" s="35" t="s">
        <v>18</v>
      </c>
    </row>
    <row r="3" spans="1:10" ht="28.5" customHeight="1" x14ac:dyDescent="0.15">
      <c r="A3" s="9">
        <v>1</v>
      </c>
      <c r="B3" s="9" t="s">
        <v>26</v>
      </c>
      <c r="C3" s="9" t="s">
        <v>98</v>
      </c>
      <c r="D3" s="9" t="s">
        <v>89</v>
      </c>
      <c r="E3" s="38">
        <v>0.44513888888888886</v>
      </c>
      <c r="F3" s="9">
        <v>5</v>
      </c>
      <c r="G3" s="38">
        <f t="shared" ref="G3:G31" si="0">E3/F3</f>
        <v>8.9027777777777775E-2</v>
      </c>
      <c r="H3" s="9"/>
      <c r="J3"/>
    </row>
    <row r="4" spans="1:10" ht="28.5" customHeight="1" x14ac:dyDescent="0.15">
      <c r="A4" s="9">
        <v>2</v>
      </c>
      <c r="B4" s="9" t="s">
        <v>33</v>
      </c>
      <c r="C4" s="9" t="s">
        <v>98</v>
      </c>
      <c r="D4" s="9" t="s">
        <v>90</v>
      </c>
      <c r="E4" s="38">
        <v>0.40069444444444446</v>
      </c>
      <c r="F4" s="9">
        <v>3</v>
      </c>
      <c r="G4" s="38">
        <f t="shared" si="0"/>
        <v>0.13356481481481483</v>
      </c>
      <c r="H4" s="9"/>
      <c r="J4"/>
    </row>
    <row r="5" spans="1:10" ht="28.5" customHeight="1" x14ac:dyDescent="0.15">
      <c r="A5" s="9">
        <v>3</v>
      </c>
      <c r="B5" s="9" t="s">
        <v>68</v>
      </c>
      <c r="C5" s="9" t="s">
        <v>98</v>
      </c>
      <c r="D5" s="9" t="s">
        <v>99</v>
      </c>
      <c r="E5" s="38">
        <v>0.28194444444444444</v>
      </c>
      <c r="F5" s="9">
        <v>4</v>
      </c>
      <c r="G5" s="38">
        <f t="shared" si="0"/>
        <v>7.048611111111111E-2</v>
      </c>
      <c r="H5" s="9"/>
      <c r="J5"/>
    </row>
    <row r="6" spans="1:10" ht="28.5" customHeight="1" x14ac:dyDescent="0.15">
      <c r="A6" s="9">
        <v>4</v>
      </c>
      <c r="B6" s="9" t="s">
        <v>43</v>
      </c>
      <c r="C6" s="9" t="s">
        <v>98</v>
      </c>
      <c r="D6" s="9" t="s">
        <v>99</v>
      </c>
      <c r="E6" s="38">
        <v>0.23749999999999999</v>
      </c>
      <c r="F6" s="9">
        <v>2</v>
      </c>
      <c r="G6" s="38">
        <f t="shared" si="0"/>
        <v>0.11874999999999999</v>
      </c>
      <c r="H6" s="9"/>
      <c r="J6"/>
    </row>
    <row r="7" spans="1:10" ht="28.5" customHeight="1" x14ac:dyDescent="0.15">
      <c r="A7" s="9">
        <v>5</v>
      </c>
      <c r="B7" s="9" t="s">
        <v>22</v>
      </c>
      <c r="C7" s="9" t="s">
        <v>21</v>
      </c>
      <c r="D7" s="9" t="s">
        <v>52</v>
      </c>
      <c r="E7" s="38">
        <v>0.23541666666666666</v>
      </c>
      <c r="F7" s="9">
        <v>4</v>
      </c>
      <c r="G7" s="38">
        <f t="shared" si="0"/>
        <v>5.8854166666666666E-2</v>
      </c>
      <c r="H7" s="9"/>
      <c r="J7"/>
    </row>
    <row r="8" spans="1:10" ht="28.5" customHeight="1" x14ac:dyDescent="0.15">
      <c r="A8" s="9">
        <v>6</v>
      </c>
      <c r="B8" s="9" t="s">
        <v>64</v>
      </c>
      <c r="C8" s="9" t="s">
        <v>21</v>
      </c>
      <c r="D8" s="9" t="s">
        <v>12</v>
      </c>
      <c r="E8" s="38">
        <v>0.18263888888888888</v>
      </c>
      <c r="F8" s="9">
        <v>2</v>
      </c>
      <c r="G8" s="38">
        <f t="shared" si="0"/>
        <v>9.1319444444444439E-2</v>
      </c>
      <c r="H8" s="9"/>
      <c r="J8"/>
    </row>
    <row r="9" spans="1:10" ht="28.5" customHeight="1" x14ac:dyDescent="0.15">
      <c r="A9" s="9">
        <v>7</v>
      </c>
      <c r="B9" s="9" t="s">
        <v>105</v>
      </c>
      <c r="C9" s="9" t="s">
        <v>98</v>
      </c>
      <c r="D9" s="9" t="s">
        <v>89</v>
      </c>
      <c r="E9" s="38">
        <v>0.18055555555555555</v>
      </c>
      <c r="F9" s="9">
        <v>1</v>
      </c>
      <c r="G9" s="38">
        <f t="shared" si="0"/>
        <v>0.18055555555555555</v>
      </c>
      <c r="H9" s="9"/>
      <c r="J9"/>
    </row>
    <row r="10" spans="1:10" ht="28.5" customHeight="1" x14ac:dyDescent="0.15">
      <c r="A10" s="9">
        <v>8</v>
      </c>
      <c r="B10" s="9" t="s">
        <v>34</v>
      </c>
      <c r="C10" s="9" t="s">
        <v>98</v>
      </c>
      <c r="D10" s="9" t="s">
        <v>89</v>
      </c>
      <c r="E10" s="38">
        <v>0.1701388888888889</v>
      </c>
      <c r="F10" s="9">
        <v>4</v>
      </c>
      <c r="G10" s="38">
        <f t="shared" si="0"/>
        <v>4.2534722222222224E-2</v>
      </c>
      <c r="H10" s="9"/>
      <c r="J10"/>
    </row>
    <row r="11" spans="1:10" ht="28.5" customHeight="1" x14ac:dyDescent="0.15">
      <c r="A11" s="9">
        <v>9</v>
      </c>
      <c r="B11" s="9" t="s">
        <v>104</v>
      </c>
      <c r="C11" s="9" t="s">
        <v>98</v>
      </c>
      <c r="D11" s="9" t="s">
        <v>90</v>
      </c>
      <c r="E11" s="38">
        <v>0.16041666666666665</v>
      </c>
      <c r="F11" s="9">
        <v>2</v>
      </c>
      <c r="G11" s="38">
        <f t="shared" si="0"/>
        <v>8.0208333333333326E-2</v>
      </c>
      <c r="H11" s="9"/>
      <c r="J11"/>
    </row>
    <row r="12" spans="1:10" ht="28.5" customHeight="1" x14ac:dyDescent="0.15">
      <c r="A12" s="9">
        <v>10</v>
      </c>
      <c r="B12" s="9" t="s">
        <v>65</v>
      </c>
      <c r="C12" s="9" t="s">
        <v>21</v>
      </c>
      <c r="D12" s="9" t="s">
        <v>13</v>
      </c>
      <c r="E12" s="38">
        <v>0.15833333333333333</v>
      </c>
      <c r="F12" s="9">
        <v>2</v>
      </c>
      <c r="G12" s="38">
        <f t="shared" si="0"/>
        <v>7.9166666666666663E-2</v>
      </c>
      <c r="H12" s="9"/>
      <c r="J12"/>
    </row>
    <row r="13" spans="1:10" ht="28.5" customHeight="1" x14ac:dyDescent="0.15">
      <c r="A13" s="9">
        <v>11</v>
      </c>
      <c r="B13" s="9" t="s">
        <v>49</v>
      </c>
      <c r="C13" s="9" t="s">
        <v>21</v>
      </c>
      <c r="D13" s="9" t="s">
        <v>52</v>
      </c>
      <c r="E13" s="38">
        <v>0.15694444444444444</v>
      </c>
      <c r="F13" s="9">
        <v>2</v>
      </c>
      <c r="G13" s="38">
        <f t="shared" si="0"/>
        <v>7.8472222222222221E-2</v>
      </c>
      <c r="H13" s="9"/>
      <c r="J13"/>
    </row>
    <row r="14" spans="1:10" ht="28.5" customHeight="1" x14ac:dyDescent="0.15">
      <c r="A14" s="9">
        <v>12</v>
      </c>
      <c r="B14" s="9" t="s">
        <v>32</v>
      </c>
      <c r="C14" s="9" t="s">
        <v>98</v>
      </c>
      <c r="D14" s="9" t="s">
        <v>90</v>
      </c>
      <c r="E14" s="38">
        <v>0.14722222222222223</v>
      </c>
      <c r="F14" s="9">
        <v>1</v>
      </c>
      <c r="G14" s="38">
        <f t="shared" si="0"/>
        <v>0.14722222222222223</v>
      </c>
      <c r="H14" s="9"/>
      <c r="J14"/>
    </row>
    <row r="15" spans="1:10" ht="28.5" customHeight="1" x14ac:dyDescent="0.15">
      <c r="A15" s="9">
        <v>13</v>
      </c>
      <c r="B15" s="9" t="s">
        <v>106</v>
      </c>
      <c r="C15" s="9" t="s">
        <v>21</v>
      </c>
      <c r="D15" s="9" t="s">
        <v>52</v>
      </c>
      <c r="E15" s="38">
        <v>0.13125000000000001</v>
      </c>
      <c r="F15" s="9">
        <v>1</v>
      </c>
      <c r="G15" s="38">
        <f t="shared" si="0"/>
        <v>0.13125000000000001</v>
      </c>
      <c r="H15" s="9"/>
      <c r="J15"/>
    </row>
    <row r="16" spans="1:10" ht="28.5" customHeight="1" x14ac:dyDescent="0.15">
      <c r="A16" s="9">
        <v>14</v>
      </c>
      <c r="B16" s="9" t="s">
        <v>30</v>
      </c>
      <c r="C16" s="9" t="s">
        <v>98</v>
      </c>
      <c r="D16" s="9" t="s">
        <v>89</v>
      </c>
      <c r="E16" s="38">
        <v>0.12638888888888888</v>
      </c>
      <c r="F16" s="9">
        <v>2</v>
      </c>
      <c r="G16" s="38">
        <f t="shared" si="0"/>
        <v>6.3194444444444442E-2</v>
      </c>
      <c r="H16" s="9"/>
      <c r="J16"/>
    </row>
    <row r="17" spans="1:10" ht="28.5" customHeight="1" x14ac:dyDescent="0.15">
      <c r="A17" s="9">
        <v>15</v>
      </c>
      <c r="B17" s="9" t="s">
        <v>79</v>
      </c>
      <c r="C17" s="9" t="s">
        <v>98</v>
      </c>
      <c r="D17" s="9" t="s">
        <v>99</v>
      </c>
      <c r="E17" s="38">
        <v>0.10277777777777777</v>
      </c>
      <c r="F17" s="9">
        <v>2</v>
      </c>
      <c r="G17" s="38">
        <f t="shared" si="0"/>
        <v>5.1388888888888887E-2</v>
      </c>
      <c r="H17" s="9"/>
      <c r="J17"/>
    </row>
    <row r="18" spans="1:10" ht="28.5" customHeight="1" x14ac:dyDescent="0.15">
      <c r="A18" s="9">
        <v>16</v>
      </c>
      <c r="B18" s="9" t="s">
        <v>37</v>
      </c>
      <c r="C18" s="9" t="s">
        <v>98</v>
      </c>
      <c r="D18" s="9" t="s">
        <v>89</v>
      </c>
      <c r="E18" s="38">
        <v>9.4444444444444442E-2</v>
      </c>
      <c r="F18" s="9">
        <v>1</v>
      </c>
      <c r="G18" s="38">
        <f t="shared" si="0"/>
        <v>9.4444444444444442E-2</v>
      </c>
      <c r="H18" s="9"/>
      <c r="J18"/>
    </row>
    <row r="19" spans="1:10" ht="28.5" customHeight="1" x14ac:dyDescent="0.15">
      <c r="A19" s="9">
        <v>17</v>
      </c>
      <c r="B19" s="9" t="s">
        <v>87</v>
      </c>
      <c r="C19" s="9" t="s">
        <v>98</v>
      </c>
      <c r="D19" s="9" t="s">
        <v>99</v>
      </c>
      <c r="E19" s="38">
        <v>8.5416666666666669E-2</v>
      </c>
      <c r="F19" s="9">
        <v>1</v>
      </c>
      <c r="G19" s="38">
        <f t="shared" si="0"/>
        <v>8.5416666666666669E-2</v>
      </c>
      <c r="H19" s="9"/>
      <c r="J19"/>
    </row>
    <row r="20" spans="1:10" ht="28.5" customHeight="1" x14ac:dyDescent="0.15">
      <c r="A20" s="9">
        <v>18</v>
      </c>
      <c r="B20" s="9" t="s">
        <v>69</v>
      </c>
      <c r="C20" s="9" t="s">
        <v>98</v>
      </c>
      <c r="D20" s="9" t="s">
        <v>99</v>
      </c>
      <c r="E20" s="38">
        <v>8.4027777777777785E-2</v>
      </c>
      <c r="F20" s="9">
        <v>1</v>
      </c>
      <c r="G20" s="38">
        <f t="shared" si="0"/>
        <v>8.4027777777777785E-2</v>
      </c>
      <c r="H20" s="9"/>
      <c r="J20"/>
    </row>
    <row r="21" spans="1:10" ht="28.5" customHeight="1" x14ac:dyDescent="0.15">
      <c r="A21" s="9">
        <v>19</v>
      </c>
      <c r="B21" s="9" t="s">
        <v>76</v>
      </c>
      <c r="C21" s="9" t="s">
        <v>98</v>
      </c>
      <c r="D21" s="9" t="s">
        <v>89</v>
      </c>
      <c r="E21" s="38">
        <v>7.1527777777777773E-2</v>
      </c>
      <c r="F21" s="9">
        <v>1</v>
      </c>
      <c r="G21" s="38">
        <f t="shared" si="0"/>
        <v>7.1527777777777773E-2</v>
      </c>
      <c r="H21" s="9"/>
    </row>
    <row r="22" spans="1:10" ht="28.5" customHeight="1" x14ac:dyDescent="0.15">
      <c r="A22" s="9">
        <v>20</v>
      </c>
      <c r="B22" s="9" t="s">
        <v>58</v>
      </c>
      <c r="C22" s="9" t="s">
        <v>98</v>
      </c>
      <c r="D22" s="9" t="s">
        <v>89</v>
      </c>
      <c r="E22" s="38">
        <v>6.9444444444444448E-2</v>
      </c>
      <c r="F22" s="9">
        <v>1</v>
      </c>
      <c r="G22" s="38">
        <f t="shared" si="0"/>
        <v>6.9444444444444448E-2</v>
      </c>
      <c r="H22" s="9"/>
    </row>
    <row r="23" spans="1:10" ht="28.5" customHeight="1" x14ac:dyDescent="0.15">
      <c r="A23" s="9">
        <v>21</v>
      </c>
      <c r="B23" s="9" t="s">
        <v>67</v>
      </c>
      <c r="C23" s="9" t="s">
        <v>21</v>
      </c>
      <c r="D23" s="9" t="s">
        <v>52</v>
      </c>
      <c r="E23" s="38">
        <v>6.25E-2</v>
      </c>
      <c r="F23" s="9">
        <v>1</v>
      </c>
      <c r="G23" s="38">
        <f t="shared" si="0"/>
        <v>6.25E-2</v>
      </c>
      <c r="H23" s="9"/>
    </row>
    <row r="24" spans="1:10" ht="28.5" customHeight="1" x14ac:dyDescent="0.15">
      <c r="A24" s="9">
        <v>22</v>
      </c>
      <c r="B24" s="9" t="s">
        <v>75</v>
      </c>
      <c r="C24" s="9" t="s">
        <v>98</v>
      </c>
      <c r="D24" s="9" t="s">
        <v>89</v>
      </c>
      <c r="E24" s="38">
        <v>6.25E-2</v>
      </c>
      <c r="F24" s="9">
        <v>1</v>
      </c>
      <c r="G24" s="38">
        <f t="shared" si="0"/>
        <v>6.25E-2</v>
      </c>
      <c r="H24" s="9"/>
    </row>
    <row r="25" spans="1:10" ht="28.5" customHeight="1" x14ac:dyDescent="0.15">
      <c r="A25" s="9">
        <v>23</v>
      </c>
      <c r="B25" s="9" t="s">
        <v>82</v>
      </c>
      <c r="C25" s="9" t="s">
        <v>98</v>
      </c>
      <c r="D25" s="9" t="s">
        <v>89</v>
      </c>
      <c r="E25" s="38">
        <v>5.6944444444444443E-2</v>
      </c>
      <c r="F25" s="9">
        <v>1</v>
      </c>
      <c r="G25" s="38">
        <f t="shared" si="0"/>
        <v>5.6944444444444443E-2</v>
      </c>
      <c r="H25" s="9"/>
    </row>
    <row r="26" spans="1:10" ht="28.5" customHeight="1" x14ac:dyDescent="0.15">
      <c r="A26" s="9">
        <v>24</v>
      </c>
      <c r="B26" s="9" t="s">
        <v>44</v>
      </c>
      <c r="C26" s="9" t="s">
        <v>98</v>
      </c>
      <c r="D26" s="9" t="s">
        <v>90</v>
      </c>
      <c r="E26" s="38">
        <v>5.4166666666666669E-2</v>
      </c>
      <c r="F26" s="9">
        <v>1</v>
      </c>
      <c r="G26" s="38">
        <f t="shared" si="0"/>
        <v>5.4166666666666669E-2</v>
      </c>
      <c r="H26" s="9"/>
    </row>
    <row r="27" spans="1:10" ht="28.5" customHeight="1" x14ac:dyDescent="0.15">
      <c r="A27" s="9">
        <v>25</v>
      </c>
      <c r="B27" s="9" t="s">
        <v>72</v>
      </c>
      <c r="C27" s="9" t="s">
        <v>98</v>
      </c>
      <c r="D27" s="9" t="s">
        <v>89</v>
      </c>
      <c r="E27" s="38">
        <v>0.05</v>
      </c>
      <c r="F27" s="9">
        <v>1</v>
      </c>
      <c r="G27" s="38">
        <f t="shared" si="0"/>
        <v>0.05</v>
      </c>
      <c r="H27" s="9"/>
    </row>
    <row r="28" spans="1:10" ht="28.5" customHeight="1" x14ac:dyDescent="0.15">
      <c r="A28" s="9">
        <v>26</v>
      </c>
      <c r="B28" s="9" t="s">
        <v>81</v>
      </c>
      <c r="C28" s="9" t="s">
        <v>21</v>
      </c>
      <c r="D28" s="9" t="s">
        <v>52</v>
      </c>
      <c r="E28" s="38">
        <v>4.7222222222222221E-2</v>
      </c>
      <c r="F28" s="9">
        <v>1</v>
      </c>
      <c r="G28" s="38">
        <f t="shared" si="0"/>
        <v>4.7222222222222221E-2</v>
      </c>
      <c r="H28" s="9"/>
    </row>
    <row r="29" spans="1:10" ht="28.5" customHeight="1" x14ac:dyDescent="0.15">
      <c r="A29" s="9">
        <v>27</v>
      </c>
      <c r="B29" s="9" t="s">
        <v>59</v>
      </c>
      <c r="C29" s="9" t="s">
        <v>98</v>
      </c>
      <c r="D29" s="9" t="s">
        <v>90</v>
      </c>
      <c r="E29" s="38">
        <v>4.3749999999999997E-2</v>
      </c>
      <c r="F29" s="9">
        <v>1</v>
      </c>
      <c r="G29" s="38">
        <f t="shared" si="0"/>
        <v>4.3749999999999997E-2</v>
      </c>
      <c r="H29" s="9"/>
    </row>
    <row r="30" spans="1:10" ht="28.5" customHeight="1" x14ac:dyDescent="0.15">
      <c r="A30" s="9">
        <v>28</v>
      </c>
      <c r="B30" s="9" t="s">
        <v>60</v>
      </c>
      <c r="C30" s="9" t="s">
        <v>98</v>
      </c>
      <c r="D30" s="9" t="s">
        <v>90</v>
      </c>
      <c r="E30" s="38">
        <v>4.3055555555555555E-2</v>
      </c>
      <c r="F30" s="9">
        <v>1</v>
      </c>
      <c r="G30" s="38">
        <f t="shared" si="0"/>
        <v>4.3055555555555555E-2</v>
      </c>
      <c r="H30" s="9"/>
    </row>
    <row r="31" spans="1:10" ht="28.5" customHeight="1" x14ac:dyDescent="0.15">
      <c r="A31" s="9">
        <v>29</v>
      </c>
      <c r="B31" s="9" t="s">
        <v>28</v>
      </c>
      <c r="C31" s="9" t="s">
        <v>21</v>
      </c>
      <c r="D31" s="9" t="s">
        <v>12</v>
      </c>
      <c r="E31" s="38">
        <v>4.1666666666666664E-2</v>
      </c>
      <c r="F31" s="9">
        <v>1</v>
      </c>
      <c r="G31" s="38">
        <f t="shared" si="0"/>
        <v>4.1666666666666664E-2</v>
      </c>
      <c r="H31" s="9"/>
    </row>
    <row r="32" spans="1:10" ht="28.5" customHeight="1" x14ac:dyDescent="0.15">
      <c r="E32" s="39"/>
    </row>
  </sheetData>
  <autoFilter ref="A2:H31" xr:uid="{43BCE10D-B95F-4DAE-8B30-B8938213CCB4}">
    <sortState xmlns:xlrd2="http://schemas.microsoft.com/office/spreadsheetml/2017/richdata2" ref="A3:H31">
      <sortCondition descending="1" ref="E2:E31"/>
    </sortState>
  </autoFilter>
  <sortState xmlns:xlrd2="http://schemas.microsoft.com/office/spreadsheetml/2017/richdata2" ref="A3:H31">
    <sortCondition descending="1" ref="E2:E31"/>
  </sortState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9C25B-D404-4E17-8145-9F90E5F60B76}">
  <sheetPr>
    <tabColor rgb="FF0070C0"/>
  </sheetPr>
  <dimension ref="A1:H59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G3" sqref="G3"/>
    </sheetView>
  </sheetViews>
  <sheetFormatPr defaultRowHeight="31.5" customHeight="1" x14ac:dyDescent="0.15"/>
  <cols>
    <col min="2" max="2" width="11.5" customWidth="1"/>
    <col min="3" max="3" width="17.125" bestFit="1" customWidth="1"/>
    <col min="4" max="4" width="23.75" bestFit="1" customWidth="1"/>
    <col min="5" max="5" width="13.25" bestFit="1" customWidth="1"/>
    <col min="6" max="6" width="11.25" bestFit="1" customWidth="1"/>
    <col min="7" max="7" width="19.5" bestFit="1" customWidth="1"/>
    <col min="8" max="8" width="14" customWidth="1"/>
  </cols>
  <sheetData>
    <row r="1" spans="1:8" ht="39.75" customHeight="1" x14ac:dyDescent="0.15">
      <c r="A1" s="71" t="s">
        <v>103</v>
      </c>
      <c r="B1" s="71"/>
      <c r="C1" s="71"/>
      <c r="D1" s="71"/>
      <c r="E1" s="71"/>
      <c r="F1" s="71"/>
      <c r="G1" s="71"/>
      <c r="H1" s="71"/>
    </row>
    <row r="2" spans="1:8" ht="29.25" customHeight="1" x14ac:dyDescent="0.15">
      <c r="A2" s="35" t="s">
        <v>14</v>
      </c>
      <c r="B2" s="35" t="s">
        <v>15</v>
      </c>
      <c r="C2" s="35" t="s">
        <v>16</v>
      </c>
      <c r="D2" s="35" t="s">
        <v>1</v>
      </c>
      <c r="E2" s="35" t="s">
        <v>4</v>
      </c>
      <c r="F2" s="35" t="s">
        <v>17</v>
      </c>
      <c r="G2" s="35" t="s">
        <v>46</v>
      </c>
      <c r="H2" s="35" t="s">
        <v>18</v>
      </c>
    </row>
    <row r="3" spans="1:8" ht="31.5" customHeight="1" x14ac:dyDescent="0.15">
      <c r="A3" s="9">
        <v>1</v>
      </c>
      <c r="B3" s="9" t="s">
        <v>49</v>
      </c>
      <c r="C3" s="9" t="s">
        <v>21</v>
      </c>
      <c r="D3" s="9" t="s">
        <v>52</v>
      </c>
      <c r="E3" s="38">
        <v>1.3041666666666667</v>
      </c>
      <c r="F3" s="9">
        <v>9</v>
      </c>
      <c r="G3" s="38">
        <f t="shared" ref="G3:G34" si="0">E3/F3</f>
        <v>0.1449074074074074</v>
      </c>
      <c r="H3" s="9"/>
    </row>
    <row r="4" spans="1:8" ht="31.5" customHeight="1" x14ac:dyDescent="0.15">
      <c r="A4" s="9">
        <v>2</v>
      </c>
      <c r="B4" s="9" t="s">
        <v>109</v>
      </c>
      <c r="C4" s="9" t="s">
        <v>114</v>
      </c>
      <c r="D4" s="9" t="s">
        <v>10</v>
      </c>
      <c r="E4" s="38">
        <v>1.2000000000000002</v>
      </c>
      <c r="F4" s="9">
        <v>4</v>
      </c>
      <c r="G4" s="38">
        <f t="shared" si="0"/>
        <v>0.30000000000000004</v>
      </c>
      <c r="H4" s="9"/>
    </row>
    <row r="5" spans="1:8" ht="31.5" customHeight="1" x14ac:dyDescent="0.15">
      <c r="A5" s="9">
        <v>3</v>
      </c>
      <c r="B5" s="9" t="s">
        <v>58</v>
      </c>
      <c r="C5" s="9" t="s">
        <v>98</v>
      </c>
      <c r="D5" s="9" t="s">
        <v>89</v>
      </c>
      <c r="E5" s="38">
        <v>0.76111111111111107</v>
      </c>
      <c r="F5" s="9">
        <v>8</v>
      </c>
      <c r="G5" s="38">
        <f t="shared" si="0"/>
        <v>9.5138888888888884E-2</v>
      </c>
      <c r="H5" s="9"/>
    </row>
    <row r="6" spans="1:8" ht="31.5" customHeight="1" x14ac:dyDescent="0.15">
      <c r="A6" s="9">
        <v>4</v>
      </c>
      <c r="B6" s="9" t="s">
        <v>106</v>
      </c>
      <c r="C6" s="9" t="s">
        <v>21</v>
      </c>
      <c r="D6" s="9" t="s">
        <v>52</v>
      </c>
      <c r="E6" s="38">
        <v>0.65486111111111101</v>
      </c>
      <c r="F6" s="9">
        <v>5</v>
      </c>
      <c r="G6" s="38">
        <f t="shared" si="0"/>
        <v>0.13097222222222221</v>
      </c>
      <c r="H6" s="9"/>
    </row>
    <row r="7" spans="1:8" ht="31.5" customHeight="1" x14ac:dyDescent="0.15">
      <c r="A7" s="9">
        <v>5</v>
      </c>
      <c r="B7" s="9" t="s">
        <v>64</v>
      </c>
      <c r="C7" s="9" t="s">
        <v>21</v>
      </c>
      <c r="D7" s="9" t="s">
        <v>12</v>
      </c>
      <c r="E7" s="38">
        <v>0.63055555555555554</v>
      </c>
      <c r="F7" s="9">
        <v>6</v>
      </c>
      <c r="G7" s="38">
        <f t="shared" si="0"/>
        <v>0.10509259259259258</v>
      </c>
      <c r="H7" s="9"/>
    </row>
    <row r="8" spans="1:8" ht="31.5" customHeight="1" x14ac:dyDescent="0.15">
      <c r="A8" s="9">
        <v>6</v>
      </c>
      <c r="B8" s="9" t="s">
        <v>33</v>
      </c>
      <c r="C8" s="9" t="s">
        <v>98</v>
      </c>
      <c r="D8" s="9" t="s">
        <v>90</v>
      </c>
      <c r="E8" s="38">
        <v>0.57986111111111105</v>
      </c>
      <c r="F8" s="9">
        <v>4</v>
      </c>
      <c r="G8" s="38">
        <f t="shared" si="0"/>
        <v>0.14496527777777776</v>
      </c>
      <c r="H8" s="9"/>
    </row>
    <row r="9" spans="1:8" ht="31.5" customHeight="1" x14ac:dyDescent="0.15">
      <c r="A9" s="9">
        <v>7</v>
      </c>
      <c r="B9" s="9" t="s">
        <v>62</v>
      </c>
      <c r="C9" s="9" t="s">
        <v>98</v>
      </c>
      <c r="D9" s="9" t="s">
        <v>89</v>
      </c>
      <c r="E9" s="38">
        <v>0.52222222222222225</v>
      </c>
      <c r="F9" s="9">
        <v>10</v>
      </c>
      <c r="G9" s="38">
        <f t="shared" si="0"/>
        <v>5.2222222222222225E-2</v>
      </c>
      <c r="H9" s="9"/>
    </row>
    <row r="10" spans="1:8" ht="31.5" customHeight="1" x14ac:dyDescent="0.15">
      <c r="A10" s="9">
        <v>8</v>
      </c>
      <c r="B10" s="9" t="s">
        <v>29</v>
      </c>
      <c r="C10" s="9" t="s">
        <v>21</v>
      </c>
      <c r="D10" s="9" t="s">
        <v>13</v>
      </c>
      <c r="E10" s="38">
        <v>0.4145833333333333</v>
      </c>
      <c r="F10" s="9">
        <v>4</v>
      </c>
      <c r="G10" s="38">
        <f t="shared" si="0"/>
        <v>0.10364583333333333</v>
      </c>
      <c r="H10" s="9"/>
    </row>
    <row r="11" spans="1:8" ht="31.5" customHeight="1" x14ac:dyDescent="0.15">
      <c r="A11" s="9">
        <v>9</v>
      </c>
      <c r="B11" s="9" t="s">
        <v>67</v>
      </c>
      <c r="C11" s="9" t="s">
        <v>21</v>
      </c>
      <c r="D11" s="9" t="s">
        <v>52</v>
      </c>
      <c r="E11" s="38">
        <v>0.41041666666666665</v>
      </c>
      <c r="F11" s="9">
        <v>6</v>
      </c>
      <c r="G11" s="38">
        <f t="shared" si="0"/>
        <v>6.8402777777777771E-2</v>
      </c>
      <c r="H11" s="9"/>
    </row>
    <row r="12" spans="1:8" ht="31.5" customHeight="1" x14ac:dyDescent="0.15">
      <c r="A12" s="9">
        <v>10</v>
      </c>
      <c r="B12" s="9" t="s">
        <v>71</v>
      </c>
      <c r="C12" s="9" t="s">
        <v>21</v>
      </c>
      <c r="D12" s="9" t="s">
        <v>52</v>
      </c>
      <c r="E12" s="38">
        <v>0.38611111111111118</v>
      </c>
      <c r="F12" s="9">
        <v>5</v>
      </c>
      <c r="G12" s="38">
        <f t="shared" si="0"/>
        <v>7.7222222222222234E-2</v>
      </c>
      <c r="H12" s="9"/>
    </row>
    <row r="13" spans="1:8" ht="31.5" customHeight="1" x14ac:dyDescent="0.15">
      <c r="A13" s="9">
        <v>11</v>
      </c>
      <c r="B13" s="9" t="s">
        <v>108</v>
      </c>
      <c r="C13" s="9" t="s">
        <v>11</v>
      </c>
      <c r="D13" s="9" t="s">
        <v>11</v>
      </c>
      <c r="E13" s="38">
        <v>0.34861111111111109</v>
      </c>
      <c r="F13" s="9">
        <v>2</v>
      </c>
      <c r="G13" s="38">
        <f t="shared" si="0"/>
        <v>0.17430555555555555</v>
      </c>
      <c r="H13" s="9"/>
    </row>
    <row r="14" spans="1:8" ht="31.5" customHeight="1" x14ac:dyDescent="0.15">
      <c r="A14" s="9">
        <v>12</v>
      </c>
      <c r="B14" s="9" t="s">
        <v>81</v>
      </c>
      <c r="C14" s="9" t="s">
        <v>21</v>
      </c>
      <c r="D14" s="9" t="s">
        <v>52</v>
      </c>
      <c r="E14" s="38">
        <v>0.34583333333333333</v>
      </c>
      <c r="F14" s="9">
        <v>5</v>
      </c>
      <c r="G14" s="38">
        <f t="shared" si="0"/>
        <v>6.9166666666666668E-2</v>
      </c>
      <c r="H14" s="9"/>
    </row>
    <row r="15" spans="1:8" ht="31.5" customHeight="1" x14ac:dyDescent="0.15">
      <c r="A15" s="9">
        <v>13</v>
      </c>
      <c r="B15" s="9" t="s">
        <v>85</v>
      </c>
      <c r="C15" s="9" t="s">
        <v>21</v>
      </c>
      <c r="D15" s="9" t="s">
        <v>52</v>
      </c>
      <c r="E15" s="38">
        <v>0.34236111111111112</v>
      </c>
      <c r="F15" s="9">
        <v>4</v>
      </c>
      <c r="G15" s="38">
        <f t="shared" si="0"/>
        <v>8.5590277777777779E-2</v>
      </c>
      <c r="H15" s="9"/>
    </row>
    <row r="16" spans="1:8" ht="31.5" customHeight="1" x14ac:dyDescent="0.15">
      <c r="A16" s="9">
        <v>14</v>
      </c>
      <c r="B16" s="9" t="s">
        <v>84</v>
      </c>
      <c r="C16" s="9" t="s">
        <v>98</v>
      </c>
      <c r="D16" s="9" t="s">
        <v>90</v>
      </c>
      <c r="E16" s="38">
        <v>0.33611111111111114</v>
      </c>
      <c r="F16" s="9">
        <v>2</v>
      </c>
      <c r="G16" s="38">
        <f t="shared" si="0"/>
        <v>0.16805555555555557</v>
      </c>
      <c r="H16" s="9"/>
    </row>
    <row r="17" spans="1:8" ht="31.5" customHeight="1" x14ac:dyDescent="0.15">
      <c r="A17" s="9">
        <v>15</v>
      </c>
      <c r="B17" s="9" t="s">
        <v>39</v>
      </c>
      <c r="C17" s="9" t="s">
        <v>7</v>
      </c>
      <c r="D17" s="9" t="s">
        <v>7</v>
      </c>
      <c r="E17" s="38">
        <v>0.32500000000000001</v>
      </c>
      <c r="F17" s="9">
        <v>3</v>
      </c>
      <c r="G17" s="38">
        <f t="shared" si="0"/>
        <v>0.10833333333333334</v>
      </c>
      <c r="H17" s="9"/>
    </row>
    <row r="18" spans="1:8" ht="31.5" customHeight="1" x14ac:dyDescent="0.15">
      <c r="A18" s="9">
        <v>16</v>
      </c>
      <c r="B18" s="9" t="s">
        <v>83</v>
      </c>
      <c r="C18" s="9" t="s">
        <v>21</v>
      </c>
      <c r="D18" s="9" t="s">
        <v>52</v>
      </c>
      <c r="E18" s="38">
        <v>0.31527777777777777</v>
      </c>
      <c r="F18" s="9">
        <v>5</v>
      </c>
      <c r="G18" s="38">
        <f t="shared" si="0"/>
        <v>6.3055555555555559E-2</v>
      </c>
      <c r="H18" s="9"/>
    </row>
    <row r="19" spans="1:8" ht="31.5" customHeight="1" x14ac:dyDescent="0.15">
      <c r="A19" s="9">
        <v>17</v>
      </c>
      <c r="B19" s="9" t="s">
        <v>107</v>
      </c>
      <c r="C19" s="9" t="s">
        <v>7</v>
      </c>
      <c r="D19" s="9" t="s">
        <v>7</v>
      </c>
      <c r="E19" s="38">
        <v>0.30208333333333331</v>
      </c>
      <c r="F19" s="9">
        <v>3</v>
      </c>
      <c r="G19" s="38">
        <f t="shared" si="0"/>
        <v>0.10069444444444443</v>
      </c>
      <c r="H19" s="9"/>
    </row>
    <row r="20" spans="1:8" ht="31.5" customHeight="1" x14ac:dyDescent="0.15">
      <c r="A20" s="9">
        <v>18</v>
      </c>
      <c r="B20" s="9" t="s">
        <v>112</v>
      </c>
      <c r="C20" s="9" t="s">
        <v>98</v>
      </c>
      <c r="D20" s="9" t="s">
        <v>89</v>
      </c>
      <c r="E20" s="38">
        <v>0.28125</v>
      </c>
      <c r="F20" s="9">
        <v>2</v>
      </c>
      <c r="G20" s="38">
        <f t="shared" si="0"/>
        <v>0.140625</v>
      </c>
      <c r="H20" s="9"/>
    </row>
    <row r="21" spans="1:8" ht="31.5" customHeight="1" x14ac:dyDescent="0.15">
      <c r="A21" s="9">
        <v>19</v>
      </c>
      <c r="B21" s="9" t="s">
        <v>80</v>
      </c>
      <c r="C21" s="9" t="s">
        <v>21</v>
      </c>
      <c r="D21" s="9" t="s">
        <v>52</v>
      </c>
      <c r="E21" s="38">
        <v>0.27430555555555558</v>
      </c>
      <c r="F21" s="9">
        <v>4</v>
      </c>
      <c r="G21" s="38">
        <f t="shared" si="0"/>
        <v>6.8576388888888895E-2</v>
      </c>
      <c r="H21" s="9"/>
    </row>
    <row r="22" spans="1:8" ht="31.5" customHeight="1" x14ac:dyDescent="0.15">
      <c r="A22" s="9">
        <v>20</v>
      </c>
      <c r="B22" s="9" t="s">
        <v>60</v>
      </c>
      <c r="C22" s="9" t="s">
        <v>98</v>
      </c>
      <c r="D22" s="9" t="s">
        <v>90</v>
      </c>
      <c r="E22" s="38">
        <v>0.2729166666666667</v>
      </c>
      <c r="F22" s="9">
        <v>4</v>
      </c>
      <c r="G22" s="38">
        <f t="shared" si="0"/>
        <v>6.8229166666666674E-2</v>
      </c>
      <c r="H22" s="9"/>
    </row>
    <row r="23" spans="1:8" ht="31.5" customHeight="1" x14ac:dyDescent="0.15">
      <c r="A23" s="9">
        <v>21</v>
      </c>
      <c r="B23" s="9" t="s">
        <v>19</v>
      </c>
      <c r="C23" s="9" t="s">
        <v>98</v>
      </c>
      <c r="D23" s="9" t="s">
        <v>89</v>
      </c>
      <c r="E23" s="38">
        <v>0.27222222222222225</v>
      </c>
      <c r="F23" s="9">
        <v>3</v>
      </c>
      <c r="G23" s="38">
        <f t="shared" si="0"/>
        <v>9.0740740740740747E-2</v>
      </c>
      <c r="H23" s="9"/>
    </row>
    <row r="24" spans="1:8" ht="31.5" customHeight="1" x14ac:dyDescent="0.15">
      <c r="A24" s="9">
        <v>22</v>
      </c>
      <c r="B24" s="9" t="s">
        <v>86</v>
      </c>
      <c r="C24" s="9" t="s">
        <v>98</v>
      </c>
      <c r="D24" s="9" t="s">
        <v>89</v>
      </c>
      <c r="E24" s="38">
        <v>0.21875</v>
      </c>
      <c r="F24" s="9">
        <v>2</v>
      </c>
      <c r="G24" s="38">
        <f t="shared" si="0"/>
        <v>0.109375</v>
      </c>
      <c r="H24" s="9"/>
    </row>
    <row r="25" spans="1:8" ht="31.5" customHeight="1" x14ac:dyDescent="0.15">
      <c r="A25" s="9">
        <v>23</v>
      </c>
      <c r="B25" s="9" t="s">
        <v>65</v>
      </c>
      <c r="C25" s="9" t="s">
        <v>21</v>
      </c>
      <c r="D25" s="9" t="s">
        <v>13</v>
      </c>
      <c r="E25" s="38">
        <v>0.21319444444444444</v>
      </c>
      <c r="F25" s="9">
        <v>3</v>
      </c>
      <c r="G25" s="38">
        <f t="shared" si="0"/>
        <v>7.1064814814814817E-2</v>
      </c>
      <c r="H25" s="9"/>
    </row>
    <row r="26" spans="1:8" ht="31.5" customHeight="1" x14ac:dyDescent="0.15">
      <c r="A26" s="9">
        <v>24</v>
      </c>
      <c r="B26" s="9" t="s">
        <v>87</v>
      </c>
      <c r="C26" s="9" t="s">
        <v>98</v>
      </c>
      <c r="D26" s="9" t="s">
        <v>99</v>
      </c>
      <c r="E26" s="38">
        <v>0.20902777777777776</v>
      </c>
      <c r="F26" s="9">
        <v>3</v>
      </c>
      <c r="G26" s="38">
        <f t="shared" si="0"/>
        <v>6.9675925925925919E-2</v>
      </c>
      <c r="H26" s="9"/>
    </row>
    <row r="27" spans="1:8" ht="31.5" customHeight="1" x14ac:dyDescent="0.15">
      <c r="A27" s="9">
        <v>25</v>
      </c>
      <c r="B27" s="9" t="s">
        <v>34</v>
      </c>
      <c r="C27" s="9" t="s">
        <v>98</v>
      </c>
      <c r="D27" s="9" t="s">
        <v>89</v>
      </c>
      <c r="E27" s="38">
        <v>0.20347222222222222</v>
      </c>
      <c r="F27" s="9">
        <v>4</v>
      </c>
      <c r="G27" s="38">
        <f t="shared" si="0"/>
        <v>5.0868055555555555E-2</v>
      </c>
      <c r="H27" s="9"/>
    </row>
    <row r="28" spans="1:8" ht="31.5" customHeight="1" x14ac:dyDescent="0.15">
      <c r="A28" s="9">
        <v>26</v>
      </c>
      <c r="B28" s="9" t="s">
        <v>22</v>
      </c>
      <c r="C28" s="9" t="s">
        <v>21</v>
      </c>
      <c r="D28" s="9" t="s">
        <v>52</v>
      </c>
      <c r="E28" s="38">
        <v>0.20069444444444445</v>
      </c>
      <c r="F28" s="9">
        <v>3</v>
      </c>
      <c r="G28" s="38">
        <f t="shared" si="0"/>
        <v>6.6898148148148151E-2</v>
      </c>
      <c r="H28" s="9"/>
    </row>
    <row r="29" spans="1:8" ht="31.5" customHeight="1" x14ac:dyDescent="0.15">
      <c r="A29" s="9">
        <v>27</v>
      </c>
      <c r="B29" s="9" t="s">
        <v>76</v>
      </c>
      <c r="C29" s="9" t="s">
        <v>98</v>
      </c>
      <c r="D29" s="9" t="s">
        <v>89</v>
      </c>
      <c r="E29" s="38">
        <v>0.19375000000000001</v>
      </c>
      <c r="F29" s="9">
        <v>2</v>
      </c>
      <c r="G29" s="38">
        <f t="shared" si="0"/>
        <v>9.6875000000000003E-2</v>
      </c>
      <c r="H29" s="9"/>
    </row>
    <row r="30" spans="1:8" ht="31.5" customHeight="1" x14ac:dyDescent="0.15">
      <c r="A30" s="9">
        <v>28</v>
      </c>
      <c r="B30" s="9" t="s">
        <v>28</v>
      </c>
      <c r="C30" s="9" t="s">
        <v>21</v>
      </c>
      <c r="D30" s="9" t="s">
        <v>12</v>
      </c>
      <c r="E30" s="38">
        <v>0.19305555555555556</v>
      </c>
      <c r="F30" s="9">
        <v>3</v>
      </c>
      <c r="G30" s="38">
        <f t="shared" si="0"/>
        <v>6.4351851851851855E-2</v>
      </c>
      <c r="H30" s="9"/>
    </row>
    <row r="31" spans="1:8" ht="31.5" customHeight="1" x14ac:dyDescent="0.15">
      <c r="A31" s="9">
        <v>29</v>
      </c>
      <c r="B31" s="9" t="s">
        <v>110</v>
      </c>
      <c r="C31" s="9" t="s">
        <v>21</v>
      </c>
      <c r="D31" s="9" t="s">
        <v>52</v>
      </c>
      <c r="E31" s="38">
        <v>0.1784722222222222</v>
      </c>
      <c r="F31" s="9">
        <v>3</v>
      </c>
      <c r="G31" s="38">
        <f t="shared" si="0"/>
        <v>5.9490740740740733E-2</v>
      </c>
      <c r="H31" s="9"/>
    </row>
    <row r="32" spans="1:8" ht="31.5" customHeight="1" x14ac:dyDescent="0.15">
      <c r="A32" s="9">
        <v>30</v>
      </c>
      <c r="B32" s="9" t="s">
        <v>111</v>
      </c>
      <c r="C32" s="9" t="s">
        <v>21</v>
      </c>
      <c r="D32" s="9" t="s">
        <v>52</v>
      </c>
      <c r="E32" s="38">
        <v>0.17430555555555555</v>
      </c>
      <c r="F32" s="9">
        <v>3</v>
      </c>
      <c r="G32" s="38">
        <f t="shared" si="0"/>
        <v>5.8101851851851849E-2</v>
      </c>
      <c r="H32" s="9"/>
    </row>
    <row r="33" spans="1:8" ht="31.5" customHeight="1" x14ac:dyDescent="0.15">
      <c r="A33" s="9">
        <v>31</v>
      </c>
      <c r="B33" s="9" t="s">
        <v>35</v>
      </c>
      <c r="C33" s="9" t="s">
        <v>98</v>
      </c>
      <c r="D33" s="9" t="s">
        <v>90</v>
      </c>
      <c r="E33" s="38">
        <v>0.1736111111111111</v>
      </c>
      <c r="F33" s="9">
        <v>1</v>
      </c>
      <c r="G33" s="38">
        <f t="shared" si="0"/>
        <v>0.1736111111111111</v>
      </c>
      <c r="H33" s="9"/>
    </row>
    <row r="34" spans="1:8" ht="31.5" customHeight="1" x14ac:dyDescent="0.15">
      <c r="A34" s="9">
        <v>32</v>
      </c>
      <c r="B34" s="9" t="s">
        <v>20</v>
      </c>
      <c r="C34" s="9" t="s">
        <v>98</v>
      </c>
      <c r="D34" s="9" t="s">
        <v>89</v>
      </c>
      <c r="E34" s="38">
        <v>0.17291666666666666</v>
      </c>
      <c r="F34" s="9">
        <v>1</v>
      </c>
      <c r="G34" s="38">
        <f t="shared" si="0"/>
        <v>0.17291666666666666</v>
      </c>
      <c r="H34" s="9"/>
    </row>
    <row r="35" spans="1:8" ht="31.5" customHeight="1" x14ac:dyDescent="0.15">
      <c r="A35" s="9">
        <v>33</v>
      </c>
      <c r="B35" s="9" t="s">
        <v>66</v>
      </c>
      <c r="C35" s="9" t="s">
        <v>98</v>
      </c>
      <c r="D35" s="9" t="s">
        <v>113</v>
      </c>
      <c r="E35" s="38">
        <v>0.15486111111111112</v>
      </c>
      <c r="F35" s="9">
        <v>1</v>
      </c>
      <c r="G35" s="38">
        <f t="shared" ref="G35:G59" si="1">E35/F35</f>
        <v>0.15486111111111112</v>
      </c>
      <c r="H35" s="9"/>
    </row>
    <row r="36" spans="1:8" ht="31.5" customHeight="1" x14ac:dyDescent="0.15">
      <c r="A36" s="9">
        <v>34</v>
      </c>
      <c r="B36" s="9" t="s">
        <v>40</v>
      </c>
      <c r="C36" s="9" t="s">
        <v>98</v>
      </c>
      <c r="D36" s="9" t="s">
        <v>90</v>
      </c>
      <c r="E36" s="38">
        <v>0.15069444444444444</v>
      </c>
      <c r="F36" s="9">
        <v>1</v>
      </c>
      <c r="G36" s="38">
        <f t="shared" si="1"/>
        <v>0.15069444444444444</v>
      </c>
      <c r="H36" s="9"/>
    </row>
    <row r="37" spans="1:8" ht="31.5" customHeight="1" x14ac:dyDescent="0.15">
      <c r="A37" s="9">
        <v>35</v>
      </c>
      <c r="B37" s="9" t="s">
        <v>63</v>
      </c>
      <c r="C37" s="9" t="s">
        <v>98</v>
      </c>
      <c r="D37" s="9" t="s">
        <v>89</v>
      </c>
      <c r="E37" s="38">
        <v>0.14930555555555555</v>
      </c>
      <c r="F37" s="9">
        <v>1</v>
      </c>
      <c r="G37" s="38">
        <f t="shared" si="1"/>
        <v>0.14930555555555555</v>
      </c>
      <c r="H37" s="9"/>
    </row>
    <row r="38" spans="1:8" ht="31.5" customHeight="1" x14ac:dyDescent="0.15">
      <c r="A38" s="9">
        <v>36</v>
      </c>
      <c r="B38" s="9" t="s">
        <v>44</v>
      </c>
      <c r="C38" s="9" t="s">
        <v>98</v>
      </c>
      <c r="D38" s="9" t="s">
        <v>90</v>
      </c>
      <c r="E38" s="38">
        <v>0.14513888888888887</v>
      </c>
      <c r="F38" s="9">
        <v>3</v>
      </c>
      <c r="G38" s="38">
        <f t="shared" si="1"/>
        <v>4.8379629629629627E-2</v>
      </c>
      <c r="H38" s="9"/>
    </row>
    <row r="39" spans="1:8" ht="31.5" customHeight="1" x14ac:dyDescent="0.15">
      <c r="A39" s="9">
        <v>37</v>
      </c>
      <c r="B39" s="9" t="s">
        <v>37</v>
      </c>
      <c r="C39" s="9" t="s">
        <v>98</v>
      </c>
      <c r="D39" s="9" t="s">
        <v>89</v>
      </c>
      <c r="E39" s="38">
        <v>0.14305555555555555</v>
      </c>
      <c r="F39" s="9">
        <v>1</v>
      </c>
      <c r="G39" s="38">
        <f t="shared" si="1"/>
        <v>0.14305555555555555</v>
      </c>
      <c r="H39" s="9"/>
    </row>
    <row r="40" spans="1:8" ht="31.5" customHeight="1" x14ac:dyDescent="0.15">
      <c r="A40" s="9">
        <v>38</v>
      </c>
      <c r="B40" s="9" t="s">
        <v>41</v>
      </c>
      <c r="C40" s="9" t="s">
        <v>98</v>
      </c>
      <c r="D40" s="9" t="s">
        <v>89</v>
      </c>
      <c r="E40" s="38">
        <v>0.1388888888888889</v>
      </c>
      <c r="F40" s="9">
        <v>2</v>
      </c>
      <c r="G40" s="38">
        <f t="shared" si="1"/>
        <v>6.9444444444444448E-2</v>
      </c>
      <c r="H40" s="9"/>
    </row>
    <row r="41" spans="1:8" ht="31.5" customHeight="1" x14ac:dyDescent="0.15">
      <c r="A41" s="9">
        <v>39</v>
      </c>
      <c r="B41" s="9" t="s">
        <v>26</v>
      </c>
      <c r="C41" s="9" t="s">
        <v>98</v>
      </c>
      <c r="D41" s="9" t="s">
        <v>89</v>
      </c>
      <c r="E41" s="38">
        <v>0.1340277777777778</v>
      </c>
      <c r="F41" s="9">
        <v>2</v>
      </c>
      <c r="G41" s="38">
        <f t="shared" si="1"/>
        <v>6.7013888888888901E-2</v>
      </c>
      <c r="H41" s="9"/>
    </row>
    <row r="42" spans="1:8" ht="31.5" customHeight="1" x14ac:dyDescent="0.15">
      <c r="A42" s="9">
        <v>40</v>
      </c>
      <c r="B42" s="9" t="s">
        <v>38</v>
      </c>
      <c r="C42" s="9" t="s">
        <v>98</v>
      </c>
      <c r="D42" s="9" t="s">
        <v>89</v>
      </c>
      <c r="E42" s="38">
        <v>0.13333333333333333</v>
      </c>
      <c r="F42" s="9">
        <v>1</v>
      </c>
      <c r="G42" s="38">
        <f t="shared" si="1"/>
        <v>0.13333333333333333</v>
      </c>
      <c r="H42" s="9"/>
    </row>
    <row r="43" spans="1:8" ht="31.5" customHeight="1" x14ac:dyDescent="0.15">
      <c r="A43" s="9">
        <v>41</v>
      </c>
      <c r="B43" s="9" t="s">
        <v>75</v>
      </c>
      <c r="C43" s="9" t="s">
        <v>98</v>
      </c>
      <c r="D43" s="9" t="s">
        <v>89</v>
      </c>
      <c r="E43" s="38">
        <v>0.13263888888888889</v>
      </c>
      <c r="F43" s="9">
        <v>3</v>
      </c>
      <c r="G43" s="38">
        <f t="shared" si="1"/>
        <v>4.4212962962962961E-2</v>
      </c>
      <c r="H43" s="9"/>
    </row>
    <row r="44" spans="1:8" ht="31.5" customHeight="1" x14ac:dyDescent="0.15">
      <c r="A44" s="9">
        <v>42</v>
      </c>
      <c r="B44" s="9" t="s">
        <v>82</v>
      </c>
      <c r="C44" s="9" t="s">
        <v>98</v>
      </c>
      <c r="D44" s="9" t="s">
        <v>89</v>
      </c>
      <c r="E44" s="38">
        <v>0.12291666666666667</v>
      </c>
      <c r="F44" s="9">
        <v>2</v>
      </c>
      <c r="G44" s="38">
        <f t="shared" si="1"/>
        <v>6.1458333333333337E-2</v>
      </c>
      <c r="H44" s="9"/>
    </row>
    <row r="45" spans="1:8" ht="31.5" customHeight="1" x14ac:dyDescent="0.15">
      <c r="A45" s="9">
        <v>43</v>
      </c>
      <c r="B45" s="9" t="s">
        <v>105</v>
      </c>
      <c r="C45" s="9" t="s">
        <v>98</v>
      </c>
      <c r="D45" s="9" t="s">
        <v>89</v>
      </c>
      <c r="E45" s="38">
        <v>0.12291666666666667</v>
      </c>
      <c r="F45" s="9">
        <v>2</v>
      </c>
      <c r="G45" s="38">
        <f t="shared" si="1"/>
        <v>6.1458333333333337E-2</v>
      </c>
      <c r="H45" s="9"/>
    </row>
    <row r="46" spans="1:8" ht="31.5" customHeight="1" x14ac:dyDescent="0.15">
      <c r="A46" s="9">
        <v>44</v>
      </c>
      <c r="B46" s="9" t="s">
        <v>27</v>
      </c>
      <c r="C46" s="9" t="s">
        <v>98</v>
      </c>
      <c r="D46" s="9" t="s">
        <v>113</v>
      </c>
      <c r="E46" s="38">
        <v>0.11597222222222223</v>
      </c>
      <c r="F46" s="9">
        <v>1</v>
      </c>
      <c r="G46" s="38">
        <f t="shared" si="1"/>
        <v>0.11597222222222223</v>
      </c>
      <c r="H46" s="9"/>
    </row>
    <row r="47" spans="1:8" ht="31.5" customHeight="1" x14ac:dyDescent="0.15">
      <c r="A47" s="9">
        <v>45</v>
      </c>
      <c r="B47" s="9" t="s">
        <v>59</v>
      </c>
      <c r="C47" s="9" t="s">
        <v>98</v>
      </c>
      <c r="D47" s="9" t="s">
        <v>90</v>
      </c>
      <c r="E47" s="38">
        <v>9.6527777777777768E-2</v>
      </c>
      <c r="F47" s="9">
        <v>2</v>
      </c>
      <c r="G47" s="38">
        <f t="shared" si="1"/>
        <v>4.8263888888888884E-2</v>
      </c>
      <c r="H47" s="9"/>
    </row>
    <row r="48" spans="1:8" ht="31.5" customHeight="1" x14ac:dyDescent="0.15">
      <c r="A48" s="9">
        <v>46</v>
      </c>
      <c r="B48" s="9" t="s">
        <v>88</v>
      </c>
      <c r="C48" s="9" t="s">
        <v>11</v>
      </c>
      <c r="D48" s="9" t="s">
        <v>11</v>
      </c>
      <c r="E48" s="38">
        <v>9.166666666666666E-2</v>
      </c>
      <c r="F48" s="9">
        <v>1</v>
      </c>
      <c r="G48" s="38">
        <f t="shared" si="1"/>
        <v>9.166666666666666E-2</v>
      </c>
      <c r="H48" s="9"/>
    </row>
    <row r="49" spans="1:8" ht="31.5" customHeight="1" x14ac:dyDescent="0.15">
      <c r="A49" s="9">
        <v>47</v>
      </c>
      <c r="B49" s="9" t="s">
        <v>30</v>
      </c>
      <c r="C49" s="9" t="s">
        <v>98</v>
      </c>
      <c r="D49" s="9" t="s">
        <v>89</v>
      </c>
      <c r="E49" s="38">
        <v>8.4722222222222227E-2</v>
      </c>
      <c r="F49" s="9">
        <v>1</v>
      </c>
      <c r="G49" s="38">
        <f t="shared" si="1"/>
        <v>8.4722222222222227E-2</v>
      </c>
      <c r="H49" s="9"/>
    </row>
    <row r="50" spans="1:8" ht="31.5" customHeight="1" x14ac:dyDescent="0.15">
      <c r="A50" s="9">
        <v>48</v>
      </c>
      <c r="B50" s="9" t="s">
        <v>79</v>
      </c>
      <c r="C50" s="9" t="s">
        <v>98</v>
      </c>
      <c r="D50" s="9" t="s">
        <v>99</v>
      </c>
      <c r="E50" s="38">
        <v>8.3333333333333329E-2</v>
      </c>
      <c r="F50" s="9">
        <v>1</v>
      </c>
      <c r="G50" s="38">
        <f t="shared" si="1"/>
        <v>8.3333333333333329E-2</v>
      </c>
      <c r="H50" s="9"/>
    </row>
    <row r="51" spans="1:8" ht="31.5" customHeight="1" x14ac:dyDescent="0.15">
      <c r="A51" s="9">
        <v>49</v>
      </c>
      <c r="B51" s="9" t="s">
        <v>77</v>
      </c>
      <c r="C51" s="9" t="s">
        <v>98</v>
      </c>
      <c r="D51" s="9" t="s">
        <v>89</v>
      </c>
      <c r="E51" s="38">
        <v>7.4999999999999997E-2</v>
      </c>
      <c r="F51" s="9">
        <v>1</v>
      </c>
      <c r="G51" s="38">
        <f t="shared" si="1"/>
        <v>7.4999999999999997E-2</v>
      </c>
      <c r="H51" s="9"/>
    </row>
    <row r="52" spans="1:8" ht="31.5" customHeight="1" x14ac:dyDescent="0.15">
      <c r="A52" s="9">
        <v>50</v>
      </c>
      <c r="B52" s="9" t="s">
        <v>104</v>
      </c>
      <c r="C52" s="9" t="s">
        <v>98</v>
      </c>
      <c r="D52" s="9" t="s">
        <v>90</v>
      </c>
      <c r="E52" s="38">
        <v>6.3194444444444442E-2</v>
      </c>
      <c r="F52" s="9">
        <v>1</v>
      </c>
      <c r="G52" s="38">
        <f t="shared" si="1"/>
        <v>6.3194444444444442E-2</v>
      </c>
      <c r="H52" s="9"/>
    </row>
    <row r="53" spans="1:8" ht="31.5" customHeight="1" x14ac:dyDescent="0.15">
      <c r="A53" s="9">
        <v>51</v>
      </c>
      <c r="B53" s="9" t="s">
        <v>36</v>
      </c>
      <c r="C53" s="9" t="s">
        <v>98</v>
      </c>
      <c r="D53" s="9" t="s">
        <v>99</v>
      </c>
      <c r="E53" s="38">
        <v>5.9722222222222225E-2</v>
      </c>
      <c r="F53" s="9">
        <v>1</v>
      </c>
      <c r="G53" s="38">
        <f t="shared" si="1"/>
        <v>5.9722222222222225E-2</v>
      </c>
      <c r="H53" s="9"/>
    </row>
    <row r="54" spans="1:8" ht="31.5" customHeight="1" x14ac:dyDescent="0.15">
      <c r="A54" s="9">
        <v>52</v>
      </c>
      <c r="B54" s="9" t="s">
        <v>69</v>
      </c>
      <c r="C54" s="9" t="s">
        <v>98</v>
      </c>
      <c r="D54" s="9" t="s">
        <v>99</v>
      </c>
      <c r="E54" s="38">
        <v>5.6944444444444443E-2</v>
      </c>
      <c r="F54" s="9">
        <v>1</v>
      </c>
      <c r="G54" s="38">
        <f t="shared" si="1"/>
        <v>5.6944444444444443E-2</v>
      </c>
      <c r="H54" s="9"/>
    </row>
    <row r="55" spans="1:8" ht="31.5" customHeight="1" x14ac:dyDescent="0.15">
      <c r="A55" s="9">
        <v>53</v>
      </c>
      <c r="B55" s="9" t="s">
        <v>68</v>
      </c>
      <c r="C55" s="9" t="s">
        <v>98</v>
      </c>
      <c r="D55" s="9" t="s">
        <v>99</v>
      </c>
      <c r="E55" s="38">
        <v>5.2777777777777778E-2</v>
      </c>
      <c r="F55" s="9">
        <v>1</v>
      </c>
      <c r="G55" s="38">
        <f t="shared" si="1"/>
        <v>5.2777777777777778E-2</v>
      </c>
      <c r="H55" s="9"/>
    </row>
    <row r="56" spans="1:8" ht="31.5" customHeight="1" x14ac:dyDescent="0.15">
      <c r="A56" s="9">
        <v>54</v>
      </c>
      <c r="B56" s="9" t="s">
        <v>24</v>
      </c>
      <c r="C56" s="9" t="s">
        <v>98</v>
      </c>
      <c r="D56" s="9" t="s">
        <v>89</v>
      </c>
      <c r="E56" s="38">
        <v>0.05</v>
      </c>
      <c r="F56" s="9">
        <v>1</v>
      </c>
      <c r="G56" s="38">
        <f t="shared" si="1"/>
        <v>0.05</v>
      </c>
      <c r="H56" s="9"/>
    </row>
    <row r="57" spans="1:8" ht="31.5" customHeight="1" x14ac:dyDescent="0.15">
      <c r="A57" s="9">
        <v>55</v>
      </c>
      <c r="B57" s="9" t="s">
        <v>61</v>
      </c>
      <c r="C57" s="9" t="s">
        <v>98</v>
      </c>
      <c r="D57" s="9" t="s">
        <v>100</v>
      </c>
      <c r="E57" s="38">
        <v>4.9305555555555554E-2</v>
      </c>
      <c r="F57" s="9">
        <v>1</v>
      </c>
      <c r="G57" s="38">
        <f t="shared" si="1"/>
        <v>4.9305555555555554E-2</v>
      </c>
      <c r="H57" s="9"/>
    </row>
    <row r="58" spans="1:8" ht="31.5" customHeight="1" x14ac:dyDescent="0.15">
      <c r="A58" s="9">
        <v>56</v>
      </c>
      <c r="B58" s="9" t="s">
        <v>72</v>
      </c>
      <c r="C58" s="9" t="s">
        <v>98</v>
      </c>
      <c r="D58" s="9" t="s">
        <v>89</v>
      </c>
      <c r="E58" s="38">
        <v>4.7222222222222221E-2</v>
      </c>
      <c r="F58" s="9">
        <v>1</v>
      </c>
      <c r="G58" s="38">
        <f t="shared" si="1"/>
        <v>4.7222222222222221E-2</v>
      </c>
      <c r="H58" s="9"/>
    </row>
    <row r="59" spans="1:8" ht="31.5" customHeight="1" x14ac:dyDescent="0.15">
      <c r="A59" s="9">
        <v>57</v>
      </c>
      <c r="B59" s="9" t="s">
        <v>25</v>
      </c>
      <c r="C59" s="9" t="s">
        <v>98</v>
      </c>
      <c r="D59" s="9" t="s">
        <v>89</v>
      </c>
      <c r="E59" s="38">
        <v>4.2361111111111113E-2</v>
      </c>
      <c r="F59" s="9">
        <v>1</v>
      </c>
      <c r="G59" s="38">
        <f t="shared" si="1"/>
        <v>4.2361111111111113E-2</v>
      </c>
      <c r="H59" s="9"/>
    </row>
  </sheetData>
  <autoFilter ref="A2:H2" xr:uid="{B269C25B-D404-4E17-8145-9F90E5F60B76}"/>
  <sortState xmlns:xlrd2="http://schemas.microsoft.com/office/spreadsheetml/2017/richdata2" ref="A3:H59">
    <sortCondition descending="1" ref="E2:E59"/>
  </sortState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DCC56-4CC1-401A-9578-879E342FD708}">
  <sheetPr>
    <tabColor rgb="FFFFC000"/>
  </sheetPr>
  <dimension ref="A1:L48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P8" sqref="P8"/>
    </sheetView>
  </sheetViews>
  <sheetFormatPr defaultRowHeight="28.5" customHeight="1" x14ac:dyDescent="0.15"/>
  <cols>
    <col min="1" max="1" width="9.75" style="19" bestFit="1" customWidth="1"/>
    <col min="2" max="2" width="19.75" style="39" bestFit="1" customWidth="1"/>
    <col min="3" max="3" width="17.125" style="19" bestFit="1" customWidth="1"/>
    <col min="4" max="4" width="23.5" style="19" bestFit="1" customWidth="1"/>
    <col min="5" max="5" width="15.5" style="19" customWidth="1"/>
    <col min="6" max="6" width="12.125" style="19" customWidth="1"/>
    <col min="7" max="7" width="19.5" style="19" bestFit="1" customWidth="1"/>
    <col min="8" max="8" width="15.375" style="19" bestFit="1" customWidth="1"/>
    <col min="9" max="9" width="9" style="19"/>
    <col min="10" max="10" width="20.375" style="19" hidden="1" customWidth="1"/>
    <col min="11" max="11" width="22" style="19" hidden="1" customWidth="1"/>
    <col min="12" max="16384" width="9" style="19"/>
  </cols>
  <sheetData>
    <row r="1" spans="1:12" s="2" customFormat="1" ht="39" customHeight="1" x14ac:dyDescent="0.3">
      <c r="A1" s="68" t="s">
        <v>115</v>
      </c>
      <c r="B1" s="69"/>
      <c r="C1" s="69"/>
      <c r="D1" s="69"/>
      <c r="E1" s="69"/>
      <c r="F1" s="69"/>
      <c r="G1" s="69"/>
      <c r="H1" s="70"/>
    </row>
    <row r="2" spans="1:12" ht="28.5" customHeight="1" x14ac:dyDescent="0.15">
      <c r="A2" s="35" t="s">
        <v>14</v>
      </c>
      <c r="B2" s="35" t="s">
        <v>15</v>
      </c>
      <c r="C2" s="35" t="s">
        <v>16</v>
      </c>
      <c r="D2" s="35" t="s">
        <v>1</v>
      </c>
      <c r="E2" s="36" t="s">
        <v>4</v>
      </c>
      <c r="F2" s="35" t="s">
        <v>17</v>
      </c>
      <c r="G2" s="35" t="s">
        <v>46</v>
      </c>
      <c r="H2" s="35" t="s">
        <v>18</v>
      </c>
    </row>
    <row r="3" spans="1:12" ht="28.5" customHeight="1" x14ac:dyDescent="0.15">
      <c r="A3" s="9">
        <v>1</v>
      </c>
      <c r="B3" s="9" t="s">
        <v>67</v>
      </c>
      <c r="C3" s="9" t="str">
        <f>VLOOKUP(B3,[2]Sheet2!$B:$F,5,0)</f>
        <v>慧税云服</v>
      </c>
      <c r="D3" s="9" t="str">
        <f>VLOOKUP(B3,[2]Sheet2!$B:$H,7,0)</f>
        <v>慧税学苑-产品研发组</v>
      </c>
      <c r="E3" s="38">
        <v>1.0583333333333333</v>
      </c>
      <c r="F3" s="9">
        <v>15</v>
      </c>
      <c r="G3" s="38">
        <f>E3/F3</f>
        <v>7.0555555555555552E-2</v>
      </c>
      <c r="H3" s="9"/>
      <c r="J3" s="47" t="s">
        <v>129</v>
      </c>
      <c r="K3" t="s">
        <v>131</v>
      </c>
      <c r="L3"/>
    </row>
    <row r="4" spans="1:12" ht="28.5" customHeight="1" x14ac:dyDescent="0.15">
      <c r="A4" s="9">
        <v>2</v>
      </c>
      <c r="B4" s="9" t="s">
        <v>71</v>
      </c>
      <c r="C4" s="9" t="str">
        <f>VLOOKUP(B4,[2]Sheet2!$B:$F,5,0)</f>
        <v>慧税云服</v>
      </c>
      <c r="D4" s="9" t="str">
        <f>VLOOKUP(B4,[2]Sheet2!$B:$H,7,0)</f>
        <v>慧税学苑-产品研发组</v>
      </c>
      <c r="E4" s="38">
        <v>1.0520833333333333</v>
      </c>
      <c r="F4" s="9">
        <v>15</v>
      </c>
      <c r="G4" s="38">
        <f t="shared" ref="G4:G48" si="0">E4/F4</f>
        <v>7.013888888888889E-2</v>
      </c>
      <c r="H4" s="9"/>
      <c r="J4" s="45" t="s">
        <v>89</v>
      </c>
      <c r="K4" s="46">
        <v>3.7020833333333329</v>
      </c>
      <c r="L4"/>
    </row>
    <row r="5" spans="1:12" ht="28.5" customHeight="1" x14ac:dyDescent="0.15">
      <c r="A5" s="9">
        <v>3</v>
      </c>
      <c r="B5" s="9" t="s">
        <v>64</v>
      </c>
      <c r="C5" s="9" t="str">
        <f>VLOOKUP(B5,[2]Sheet2!$B:$F,5,0)</f>
        <v>慧税云服</v>
      </c>
      <c r="D5" s="9" t="str">
        <f>VLOOKUP(B5,[2]Sheet2!$B:$H,7,0)</f>
        <v>慧税学苑-教研组</v>
      </c>
      <c r="E5" s="38">
        <v>1.0444444444444445</v>
      </c>
      <c r="F5" s="9">
        <v>12</v>
      </c>
      <c r="G5" s="38">
        <f t="shared" si="0"/>
        <v>8.7037037037037038E-2</v>
      </c>
      <c r="H5" s="9"/>
      <c r="J5" s="45" t="s">
        <v>90</v>
      </c>
      <c r="K5" s="46">
        <v>1.4756944444444446</v>
      </c>
      <c r="L5"/>
    </row>
    <row r="6" spans="1:12" ht="28.5" customHeight="1" x14ac:dyDescent="0.15">
      <c r="A6" s="9">
        <v>4</v>
      </c>
      <c r="B6" s="9" t="s">
        <v>49</v>
      </c>
      <c r="C6" s="9" t="str">
        <f>VLOOKUP(B6,[2]Sheet2!$B:$F,5,0)</f>
        <v>慧税云服</v>
      </c>
      <c r="D6" s="9" t="str">
        <f>VLOOKUP(B6,[2]Sheet2!$B:$H,7,0)</f>
        <v>慧税学苑-产品研发组</v>
      </c>
      <c r="E6" s="38">
        <v>1.0027777777777775</v>
      </c>
      <c r="F6" s="9">
        <v>14</v>
      </c>
      <c r="G6" s="38">
        <f t="shared" si="0"/>
        <v>7.1626984126984108E-2</v>
      </c>
      <c r="H6" s="9"/>
      <c r="J6" s="45" t="s">
        <v>52</v>
      </c>
      <c r="K6" s="46">
        <v>7.8631944444444439</v>
      </c>
      <c r="L6"/>
    </row>
    <row r="7" spans="1:12" ht="28.5" customHeight="1" x14ac:dyDescent="0.15">
      <c r="A7" s="9">
        <v>5</v>
      </c>
      <c r="B7" s="9" t="s">
        <v>80</v>
      </c>
      <c r="C7" s="9" t="str">
        <f>VLOOKUP(B7,[2]Sheet2!$B:$F,5,0)</f>
        <v>慧税云服</v>
      </c>
      <c r="D7" s="9" t="str">
        <f>VLOOKUP(B7,[2]Sheet2!$B:$H,7,0)</f>
        <v>慧税学苑-产品研发组</v>
      </c>
      <c r="E7" s="38">
        <v>0.91874999999999996</v>
      </c>
      <c r="F7" s="9">
        <v>14</v>
      </c>
      <c r="G7" s="38">
        <f t="shared" si="0"/>
        <v>6.5625000000000003E-2</v>
      </c>
      <c r="H7" s="9"/>
      <c r="J7" s="45" t="s">
        <v>12</v>
      </c>
      <c r="K7" s="46">
        <v>1.1048611111111111</v>
      </c>
      <c r="L7"/>
    </row>
    <row r="8" spans="1:12" ht="28.5" customHeight="1" x14ac:dyDescent="0.15">
      <c r="A8" s="9">
        <v>6</v>
      </c>
      <c r="B8" s="9" t="s">
        <v>62</v>
      </c>
      <c r="C8" s="9" t="str">
        <f>VLOOKUP(B8,[2]Sheet2!$B:$F,5,0)</f>
        <v>税企服务中心</v>
      </c>
      <c r="D8" s="9" t="str">
        <f>VLOOKUP(B8,[2]Sheet2!$B:$H,7,0)</f>
        <v>B端服务组</v>
      </c>
      <c r="E8" s="38">
        <v>0.83263888888888882</v>
      </c>
      <c r="F8" s="9">
        <v>16</v>
      </c>
      <c r="G8" s="38">
        <f t="shared" si="0"/>
        <v>5.2039930555555551E-2</v>
      </c>
      <c r="H8" s="9"/>
      <c r="J8" s="45" t="s">
        <v>53</v>
      </c>
      <c r="K8" s="46">
        <v>0.14027777777777778</v>
      </c>
      <c r="L8"/>
    </row>
    <row r="9" spans="1:12" ht="28.5" customHeight="1" x14ac:dyDescent="0.15">
      <c r="A9" s="9">
        <v>7</v>
      </c>
      <c r="B9" s="9" t="s">
        <v>106</v>
      </c>
      <c r="C9" s="9" t="str">
        <f>VLOOKUP(B9,[2]Sheet2!$B:$F,5,0)</f>
        <v>慧税云服</v>
      </c>
      <c r="D9" s="9" t="str">
        <f>VLOOKUP(B9,[2]Sheet2!$B:$H,7,0)</f>
        <v>慧税学苑-产品研发组</v>
      </c>
      <c r="E9" s="38">
        <v>0.82430555555555551</v>
      </c>
      <c r="F9" s="9">
        <v>13</v>
      </c>
      <c r="G9" s="38">
        <f t="shared" si="0"/>
        <v>6.3408119658119655E-2</v>
      </c>
      <c r="H9" s="9"/>
      <c r="J9" s="45" t="s">
        <v>13</v>
      </c>
      <c r="K9" s="46">
        <v>0.27986111111111112</v>
      </c>
      <c r="L9"/>
    </row>
    <row r="10" spans="1:12" ht="28.5" customHeight="1" x14ac:dyDescent="0.15">
      <c r="A10" s="9">
        <v>8</v>
      </c>
      <c r="B10" s="9" t="s">
        <v>83</v>
      </c>
      <c r="C10" s="9" t="str">
        <f>VLOOKUP(B10,[2]Sheet2!$B:$F,5,0)</f>
        <v>慧税云服</v>
      </c>
      <c r="D10" s="9" t="str">
        <f>VLOOKUP(B10,[2]Sheet2!$B:$H,7,0)</f>
        <v>慧税学苑-产品研发组</v>
      </c>
      <c r="E10" s="38">
        <v>0.82222222222222219</v>
      </c>
      <c r="F10" s="9">
        <v>13</v>
      </c>
      <c r="G10" s="38">
        <f t="shared" si="0"/>
        <v>6.3247863247863245E-2</v>
      </c>
      <c r="H10" s="9"/>
      <c r="J10" s="45" t="s">
        <v>11</v>
      </c>
      <c r="K10" s="46">
        <v>0.15138888888888888</v>
      </c>
      <c r="L10"/>
    </row>
    <row r="11" spans="1:12" ht="28.5" customHeight="1" x14ac:dyDescent="0.15">
      <c r="A11" s="9">
        <v>9</v>
      </c>
      <c r="B11" s="9" t="s">
        <v>58</v>
      </c>
      <c r="C11" s="9" t="str">
        <f>VLOOKUP(B11,[2]Sheet2!$B:$F,5,0)</f>
        <v>税企服务中心</v>
      </c>
      <c r="D11" s="9" t="str">
        <f>VLOOKUP(B11,[2]Sheet2!$B:$H,7,0)</f>
        <v>B端服务组</v>
      </c>
      <c r="E11" s="38">
        <v>0.75138888888888877</v>
      </c>
      <c r="F11" s="9">
        <v>10</v>
      </c>
      <c r="G11" s="38">
        <f t="shared" si="0"/>
        <v>7.513888888888888E-2</v>
      </c>
      <c r="H11" s="9"/>
      <c r="J11" s="45" t="s">
        <v>7</v>
      </c>
      <c r="K11" s="46">
        <v>9.5138888888888884E-2</v>
      </c>
      <c r="L11"/>
    </row>
    <row r="12" spans="1:12" ht="28.5" customHeight="1" x14ac:dyDescent="0.15">
      <c r="A12" s="9">
        <v>10</v>
      </c>
      <c r="B12" s="9" t="s">
        <v>81</v>
      </c>
      <c r="C12" s="9" t="str">
        <f>VLOOKUP(B12,[2]Sheet2!$B:$F,5,0)</f>
        <v>慧税云服</v>
      </c>
      <c r="D12" s="9" t="str">
        <f>VLOOKUP(B12,[2]Sheet2!$B:$H,7,0)</f>
        <v>慧税学苑-产品研发组</v>
      </c>
      <c r="E12" s="38">
        <v>0.65416666666666667</v>
      </c>
      <c r="F12" s="9">
        <v>10</v>
      </c>
      <c r="G12" s="38">
        <f t="shared" si="0"/>
        <v>6.5416666666666665E-2</v>
      </c>
      <c r="H12" s="9"/>
      <c r="J12" s="45" t="s">
        <v>100</v>
      </c>
      <c r="K12" s="46">
        <v>5.2083333333333336E-2</v>
      </c>
      <c r="L12"/>
    </row>
    <row r="13" spans="1:12" ht="28.5" customHeight="1" x14ac:dyDescent="0.15">
      <c r="A13" s="9">
        <v>11</v>
      </c>
      <c r="B13" s="9" t="s">
        <v>22</v>
      </c>
      <c r="C13" s="9" t="str">
        <f>VLOOKUP(B13,[2]Sheet2!$B:$F,5,0)</f>
        <v>慧税云服</v>
      </c>
      <c r="D13" s="9" t="str">
        <f>VLOOKUP(B13,[2]Sheet2!$B:$H,7,0)</f>
        <v>慧税学苑-产品研发组</v>
      </c>
      <c r="E13" s="38">
        <v>0.60277777777777775</v>
      </c>
      <c r="F13" s="9">
        <v>7</v>
      </c>
      <c r="G13" s="38">
        <f t="shared" si="0"/>
        <v>8.611111111111111E-2</v>
      </c>
      <c r="H13" s="9"/>
      <c r="J13" s="45" t="s">
        <v>99</v>
      </c>
      <c r="K13" s="46">
        <v>1.1444444444444446</v>
      </c>
      <c r="L13"/>
    </row>
    <row r="14" spans="1:12" ht="28.5" customHeight="1" x14ac:dyDescent="0.15">
      <c r="A14" s="9">
        <v>12</v>
      </c>
      <c r="B14" s="9" t="s">
        <v>79</v>
      </c>
      <c r="C14" s="9" t="str">
        <f>VLOOKUP(B14,[2]Sheet2!$B:$F,5,0)</f>
        <v>税企服务中心</v>
      </c>
      <c r="D14" s="9" t="str">
        <f>VLOOKUP(B14,[2]Sheet2!$B:$H,7,0)</f>
        <v>资源中心-资源组</v>
      </c>
      <c r="E14" s="38">
        <v>0.51736111111111105</v>
      </c>
      <c r="F14" s="9">
        <v>8</v>
      </c>
      <c r="G14" s="38">
        <f t="shared" si="0"/>
        <v>6.4670138888888881E-2</v>
      </c>
      <c r="H14" s="9"/>
      <c r="J14" s="45" t="s">
        <v>130</v>
      </c>
      <c r="K14" s="46">
        <v>16.009027777777778</v>
      </c>
      <c r="L14"/>
    </row>
    <row r="15" spans="1:12" ht="28.5" customHeight="1" x14ac:dyDescent="0.15">
      <c r="A15" s="9">
        <v>13</v>
      </c>
      <c r="B15" s="9" t="s">
        <v>34</v>
      </c>
      <c r="C15" s="9" t="str">
        <f>VLOOKUP(B15,[2]Sheet2!$B:$F,5,0)</f>
        <v>税企服务中心</v>
      </c>
      <c r="D15" s="9" t="str">
        <f>VLOOKUP(B15,[2]Sheet2!$B:$H,7,0)</f>
        <v>B端服务组</v>
      </c>
      <c r="E15" s="38">
        <v>0.48541666666666672</v>
      </c>
      <c r="F15" s="9">
        <v>11</v>
      </c>
      <c r="G15" s="38">
        <f t="shared" si="0"/>
        <v>4.4128787878787885E-2</v>
      </c>
      <c r="H15" s="9"/>
      <c r="J15"/>
      <c r="K15"/>
      <c r="L15"/>
    </row>
    <row r="16" spans="1:12" ht="28.5" customHeight="1" x14ac:dyDescent="0.15">
      <c r="A16" s="9">
        <v>14</v>
      </c>
      <c r="B16" s="9" t="s">
        <v>85</v>
      </c>
      <c r="C16" s="9" t="str">
        <f>VLOOKUP(B16,[2]Sheet2!$B:$F,5,0)</f>
        <v>慧税云服</v>
      </c>
      <c r="D16" s="9" t="str">
        <f>VLOOKUP(B16,[2]Sheet2!$B:$H,7,0)</f>
        <v>慧税学苑-产品研发组</v>
      </c>
      <c r="E16" s="38">
        <v>0.46736111111111112</v>
      </c>
      <c r="F16" s="9">
        <v>8</v>
      </c>
      <c r="G16" s="38">
        <f t="shared" si="0"/>
        <v>5.842013888888889E-2</v>
      </c>
      <c r="H16" s="9"/>
      <c r="J16"/>
      <c r="K16"/>
      <c r="L16"/>
    </row>
    <row r="17" spans="1:12" ht="28.5" customHeight="1" x14ac:dyDescent="0.15">
      <c r="A17" s="9">
        <v>15</v>
      </c>
      <c r="B17" s="9" t="s">
        <v>33</v>
      </c>
      <c r="C17" s="9" t="str">
        <f>VLOOKUP(B17,[2]Sheet2!$B:$F,5,0)</f>
        <v>税企服务中心</v>
      </c>
      <c r="D17" s="9" t="str">
        <f>VLOOKUP(B17,[2]Sheet2!$B:$H,7,0)</f>
        <v>G端服务组</v>
      </c>
      <c r="E17" s="38">
        <v>0.42638888888888887</v>
      </c>
      <c r="F17" s="9">
        <v>2</v>
      </c>
      <c r="G17" s="38">
        <f t="shared" si="0"/>
        <v>0.21319444444444444</v>
      </c>
      <c r="H17" s="9"/>
      <c r="J17"/>
      <c r="K17"/>
      <c r="L17"/>
    </row>
    <row r="18" spans="1:12" ht="28.5" customHeight="1" x14ac:dyDescent="0.15">
      <c r="A18" s="9">
        <v>16</v>
      </c>
      <c r="B18" s="9" t="s">
        <v>59</v>
      </c>
      <c r="C18" s="9" t="str">
        <f>VLOOKUP(B18,[2]Sheet2!$B:$F,5,0)</f>
        <v>税企服务中心</v>
      </c>
      <c r="D18" s="9" t="str">
        <f>VLOOKUP(B18,[2]Sheet2!$B:$H,7,0)</f>
        <v>G端服务组</v>
      </c>
      <c r="E18" s="38">
        <v>0.41666666666666669</v>
      </c>
      <c r="F18" s="9">
        <v>4</v>
      </c>
      <c r="G18" s="38">
        <f t="shared" si="0"/>
        <v>0.10416666666666667</v>
      </c>
      <c r="H18" s="9"/>
      <c r="J18"/>
      <c r="K18"/>
      <c r="L18"/>
    </row>
    <row r="19" spans="1:12" ht="28.5" customHeight="1" x14ac:dyDescent="0.15">
      <c r="A19" s="9">
        <v>17</v>
      </c>
      <c r="B19" s="9" t="s">
        <v>31</v>
      </c>
      <c r="C19" s="9" t="str">
        <f>VLOOKUP(B19,[2]Sheet2!$B:$F,5,0)</f>
        <v>税企服务中心</v>
      </c>
      <c r="D19" s="9" t="str">
        <f>VLOOKUP(B19,[2]Sheet2!$B:$H,7,0)</f>
        <v>资源中心-资源组</v>
      </c>
      <c r="E19" s="38">
        <v>0.3576388888888889</v>
      </c>
      <c r="F19" s="9">
        <v>5</v>
      </c>
      <c r="G19" s="38">
        <f t="shared" si="0"/>
        <v>7.1527777777777773E-2</v>
      </c>
      <c r="H19" s="9"/>
      <c r="J19"/>
      <c r="K19"/>
      <c r="L19"/>
    </row>
    <row r="20" spans="1:12" ht="28.5" customHeight="1" x14ac:dyDescent="0.15">
      <c r="A20" s="9">
        <v>18</v>
      </c>
      <c r="B20" s="9" t="s">
        <v>76</v>
      </c>
      <c r="C20" s="9" t="str">
        <f>VLOOKUP(B20,[2]Sheet2!$B:$F,5,0)</f>
        <v>税企服务中心</v>
      </c>
      <c r="D20" s="9" t="str">
        <f>VLOOKUP(B20,[2]Sheet2!$B:$H,7,0)</f>
        <v>B端服务组</v>
      </c>
      <c r="E20" s="38">
        <v>0.33402777777777781</v>
      </c>
      <c r="F20" s="9">
        <v>2</v>
      </c>
      <c r="G20" s="38">
        <f t="shared" si="0"/>
        <v>0.16701388888888891</v>
      </c>
      <c r="H20" s="9"/>
      <c r="J20"/>
      <c r="K20"/>
      <c r="L20"/>
    </row>
    <row r="21" spans="1:12" ht="28.5" customHeight="1" x14ac:dyDescent="0.15">
      <c r="A21" s="9">
        <v>19</v>
      </c>
      <c r="B21" s="9" t="s">
        <v>110</v>
      </c>
      <c r="C21" s="9" t="str">
        <f>VLOOKUP(B21,[2]Sheet2!$B:$F,5,0)</f>
        <v>慧税云服</v>
      </c>
      <c r="D21" s="9" t="str">
        <f>VLOOKUP(B21,[2]Sheet2!$B:$H,7,0)</f>
        <v>慧税学苑-产品研发组</v>
      </c>
      <c r="E21" s="38">
        <v>0.30833333333333335</v>
      </c>
      <c r="F21" s="9">
        <v>5</v>
      </c>
      <c r="G21" s="38">
        <f t="shared" si="0"/>
        <v>6.1666666666666668E-2</v>
      </c>
      <c r="H21" s="9"/>
    </row>
    <row r="22" spans="1:12" ht="28.5" customHeight="1" x14ac:dyDescent="0.15">
      <c r="A22" s="9">
        <v>20</v>
      </c>
      <c r="B22" s="9" t="s">
        <v>29</v>
      </c>
      <c r="C22" s="9" t="str">
        <f>VLOOKUP(B22,[2]Sheet2!$B:$F,5,0)</f>
        <v>慧税云服</v>
      </c>
      <c r="D22" s="9" t="str">
        <f>VLOOKUP(B22,[2]Sheet2!$B:$H,7,0)</f>
        <v>慧税学苑-运营组</v>
      </c>
      <c r="E22" s="38">
        <v>0.23055555555555557</v>
      </c>
      <c r="F22" s="9">
        <v>2</v>
      </c>
      <c r="G22" s="38">
        <f t="shared" si="0"/>
        <v>0.11527777777777778</v>
      </c>
      <c r="H22" s="9"/>
    </row>
    <row r="23" spans="1:12" ht="28.5" customHeight="1" x14ac:dyDescent="0.15">
      <c r="A23" s="9">
        <v>21</v>
      </c>
      <c r="B23" s="9" t="s">
        <v>41</v>
      </c>
      <c r="C23" s="9" t="str">
        <f>VLOOKUP(B23,[2]Sheet2!$B:$F,5,0)</f>
        <v>税企服务中心</v>
      </c>
      <c r="D23" s="9" t="str">
        <f>VLOOKUP(B23,[2]Sheet2!$B:$H,7,0)</f>
        <v>B端服务组</v>
      </c>
      <c r="E23" s="38">
        <v>0.22152777777777777</v>
      </c>
      <c r="F23" s="9">
        <v>3</v>
      </c>
      <c r="G23" s="38">
        <f t="shared" si="0"/>
        <v>7.3842592592592585E-2</v>
      </c>
      <c r="H23" s="9"/>
    </row>
    <row r="24" spans="1:12" ht="28.5" customHeight="1" x14ac:dyDescent="0.15">
      <c r="A24" s="9">
        <v>22</v>
      </c>
      <c r="B24" s="9" t="s">
        <v>121</v>
      </c>
      <c r="C24" s="9" t="str">
        <f>VLOOKUP(B24,[2]Sheet2!$B:$F,5,0)</f>
        <v>税企服务中心</v>
      </c>
      <c r="D24" s="9" t="str">
        <f>VLOOKUP(B24,[2]Sheet2!$B:$H,7,0)</f>
        <v>G端服务组</v>
      </c>
      <c r="E24" s="38">
        <v>0.16875000000000001</v>
      </c>
      <c r="F24" s="9">
        <v>1</v>
      </c>
      <c r="G24" s="38">
        <f t="shared" si="0"/>
        <v>0.16875000000000001</v>
      </c>
      <c r="H24" s="9"/>
    </row>
    <row r="25" spans="1:12" ht="28.5" customHeight="1" x14ac:dyDescent="0.15">
      <c r="A25" s="9">
        <v>23</v>
      </c>
      <c r="B25" s="9" t="s">
        <v>77</v>
      </c>
      <c r="C25" s="9" t="str">
        <f>VLOOKUP(B25,[2]Sheet2!$B:$F,5,0)</f>
        <v>税企服务中心</v>
      </c>
      <c r="D25" s="9" t="str">
        <f>VLOOKUP(B25,[2]Sheet2!$B:$H,7,0)</f>
        <v>B端服务组</v>
      </c>
      <c r="E25" s="38">
        <v>0.16458333333333333</v>
      </c>
      <c r="F25" s="9">
        <v>2</v>
      </c>
      <c r="G25" s="38">
        <f t="shared" si="0"/>
        <v>8.2291666666666666E-2</v>
      </c>
      <c r="H25" s="9"/>
    </row>
    <row r="26" spans="1:12" ht="28.5" customHeight="1" x14ac:dyDescent="0.15">
      <c r="A26" s="9">
        <v>24</v>
      </c>
      <c r="B26" s="9" t="s">
        <v>68</v>
      </c>
      <c r="C26" s="9" t="str">
        <f>VLOOKUP(B26,[2]Sheet2!$B:$F,5,0)</f>
        <v>税企服务中心</v>
      </c>
      <c r="D26" s="9" t="str">
        <f>VLOOKUP(B26,[2]Sheet2!$B:$H,7,0)</f>
        <v>资源中心-资源组</v>
      </c>
      <c r="E26" s="38">
        <v>0.16249999999999998</v>
      </c>
      <c r="F26" s="9">
        <v>2</v>
      </c>
      <c r="G26" s="38">
        <f t="shared" si="0"/>
        <v>8.1249999999999989E-2</v>
      </c>
      <c r="H26" s="9"/>
    </row>
    <row r="27" spans="1:12" ht="28.5" customHeight="1" x14ac:dyDescent="0.15">
      <c r="A27" s="9">
        <v>25</v>
      </c>
      <c r="B27" s="9" t="s">
        <v>84</v>
      </c>
      <c r="C27" s="9" t="str">
        <f>VLOOKUP(B27,[2]Sheet2!$B:$F,5,0)</f>
        <v>税企服务中心</v>
      </c>
      <c r="D27" s="9" t="str">
        <f>VLOOKUP(B27,[2]Sheet2!$B:$H,7,0)</f>
        <v>G端服务组</v>
      </c>
      <c r="E27" s="38">
        <v>0.16180555555555556</v>
      </c>
      <c r="F27" s="9">
        <v>3</v>
      </c>
      <c r="G27" s="38">
        <f t="shared" si="0"/>
        <v>5.393518518518519E-2</v>
      </c>
      <c r="H27" s="9"/>
    </row>
    <row r="28" spans="1:12" ht="28.5" customHeight="1" x14ac:dyDescent="0.15">
      <c r="A28" s="9">
        <v>26</v>
      </c>
      <c r="B28" s="9" t="s">
        <v>111</v>
      </c>
      <c r="C28" s="9" t="str">
        <f>VLOOKUP(B28,[2]Sheet2!$B:$F,5,0)</f>
        <v>慧税云服</v>
      </c>
      <c r="D28" s="9" t="str">
        <f>VLOOKUP(B28,[2]Sheet2!$B:$H,7,0)</f>
        <v>慧税学苑-产品研发组</v>
      </c>
      <c r="E28" s="38">
        <v>0.15208333333333335</v>
      </c>
      <c r="F28" s="9">
        <v>3</v>
      </c>
      <c r="G28" s="38">
        <f t="shared" si="0"/>
        <v>5.0694444444444452E-2</v>
      </c>
      <c r="H28" s="9"/>
    </row>
    <row r="29" spans="1:12" ht="28.5" customHeight="1" x14ac:dyDescent="0.15">
      <c r="A29" s="9">
        <v>27</v>
      </c>
      <c r="B29" s="9" t="s">
        <v>88</v>
      </c>
      <c r="C29" s="9" t="str">
        <f>VLOOKUP(B29,[2]Sheet2!$B:$F,5,0)</f>
        <v>人力资源&amp;行政部</v>
      </c>
      <c r="D29" s="9" t="str">
        <f>VLOOKUP(B29,[2]Sheet2!$B:$H,7,0)</f>
        <v>人力资源&amp;行政部</v>
      </c>
      <c r="E29" s="38">
        <v>0.15138888888888891</v>
      </c>
      <c r="F29" s="9">
        <v>2</v>
      </c>
      <c r="G29" s="38">
        <f t="shared" si="0"/>
        <v>7.5694444444444453E-2</v>
      </c>
      <c r="H29" s="9"/>
    </row>
    <row r="30" spans="1:12" ht="28.5" customHeight="1" x14ac:dyDescent="0.15">
      <c r="A30" s="9">
        <v>28</v>
      </c>
      <c r="B30" s="9" t="s">
        <v>60</v>
      </c>
      <c r="C30" s="9" t="str">
        <f>VLOOKUP(B30,[2]Sheet2!$B:$F,5,0)</f>
        <v>税企服务中心</v>
      </c>
      <c r="D30" s="9" t="str">
        <f>VLOOKUP(B30,[2]Sheet2!$B:$H,7,0)</f>
        <v>G端服务组</v>
      </c>
      <c r="E30" s="38">
        <v>0.14930555555555555</v>
      </c>
      <c r="F30" s="9">
        <v>2</v>
      </c>
      <c r="G30" s="38">
        <f t="shared" si="0"/>
        <v>7.4652777777777776E-2</v>
      </c>
      <c r="H30" s="9"/>
    </row>
    <row r="31" spans="1:12" ht="28.5" customHeight="1" x14ac:dyDescent="0.15">
      <c r="A31" s="9">
        <v>29</v>
      </c>
      <c r="B31" s="9" t="s">
        <v>19</v>
      </c>
      <c r="C31" s="9" t="str">
        <f>VLOOKUP(B31,[2]Sheet2!$B:$F,5,0)</f>
        <v>税企服务中心</v>
      </c>
      <c r="D31" s="9" t="str">
        <f>VLOOKUP(B31,[2]Sheet2!$B:$H,7,0)</f>
        <v>B端服务组</v>
      </c>
      <c r="E31" s="38">
        <v>0.14652777777777778</v>
      </c>
      <c r="F31" s="9">
        <v>1</v>
      </c>
      <c r="G31" s="38">
        <f t="shared" si="0"/>
        <v>0.14652777777777778</v>
      </c>
      <c r="H31" s="9"/>
    </row>
    <row r="32" spans="1:12" ht="28.5" customHeight="1" x14ac:dyDescent="0.15">
      <c r="A32" s="9">
        <v>30</v>
      </c>
      <c r="B32" s="9" t="s">
        <v>75</v>
      </c>
      <c r="C32" s="9" t="str">
        <f>VLOOKUP(B32,[2]Sheet2!$B:$F,5,0)</f>
        <v>税企服务中心</v>
      </c>
      <c r="D32" s="9" t="str">
        <f>VLOOKUP(B32,[2]Sheet2!$B:$H,7,0)</f>
        <v>B端服务组</v>
      </c>
      <c r="E32" s="38">
        <v>0.14444444444444443</v>
      </c>
      <c r="F32" s="9">
        <v>3</v>
      </c>
      <c r="G32" s="38">
        <f t="shared" si="0"/>
        <v>4.8148148148148141E-2</v>
      </c>
      <c r="H32" s="9"/>
    </row>
    <row r="33" spans="1:8" ht="28.5" customHeight="1" x14ac:dyDescent="0.15">
      <c r="A33" s="9">
        <v>31</v>
      </c>
      <c r="B33" s="9" t="s">
        <v>112</v>
      </c>
      <c r="C33" s="9" t="str">
        <f>VLOOKUP(B33,[2]Sheet2!$B:$F,5,0)</f>
        <v>税企服务中心</v>
      </c>
      <c r="D33" s="9" t="str">
        <f>VLOOKUP(B33,[2]Sheet2!$B:$H,7,0)</f>
        <v>B端服务组</v>
      </c>
      <c r="E33" s="38">
        <v>0.1423611111111111</v>
      </c>
      <c r="F33" s="9">
        <v>1</v>
      </c>
      <c r="G33" s="38">
        <f t="shared" si="0"/>
        <v>0.1423611111111111</v>
      </c>
      <c r="H33" s="9"/>
    </row>
    <row r="34" spans="1:8" ht="28.5" customHeight="1" x14ac:dyDescent="0.15">
      <c r="A34" s="9">
        <v>32</v>
      </c>
      <c r="B34" s="9" t="s">
        <v>105</v>
      </c>
      <c r="C34" s="9" t="str">
        <f>VLOOKUP(B34,[2]Sheet2!$B:$F,5,0)</f>
        <v>税企服务中心</v>
      </c>
      <c r="D34" s="9" t="str">
        <f>VLOOKUP(B34,[2]Sheet2!$B:$H,7,0)</f>
        <v>B端服务组</v>
      </c>
      <c r="E34" s="38">
        <v>0.14166666666666666</v>
      </c>
      <c r="F34" s="9">
        <v>1</v>
      </c>
      <c r="G34" s="38">
        <f t="shared" si="0"/>
        <v>0.14166666666666666</v>
      </c>
      <c r="H34" s="9"/>
    </row>
    <row r="35" spans="1:8" ht="28.5" customHeight="1" x14ac:dyDescent="0.15">
      <c r="A35" s="9">
        <v>33</v>
      </c>
      <c r="B35" s="9" t="s">
        <v>45</v>
      </c>
      <c r="C35" s="9" t="str">
        <f>VLOOKUP(B35,[2]Sheet2!$B:$F,5,0)</f>
        <v>慧税云服</v>
      </c>
      <c r="D35" s="9" t="str">
        <f>VLOOKUP(B35,[2]Sheet2!$B:$H,7,0)</f>
        <v>慧税学苑-品牌组</v>
      </c>
      <c r="E35" s="38">
        <v>0.14027777777777778</v>
      </c>
      <c r="F35" s="9">
        <v>2</v>
      </c>
      <c r="G35" s="38">
        <f t="shared" si="0"/>
        <v>7.013888888888889E-2</v>
      </c>
      <c r="H35" s="9"/>
    </row>
    <row r="36" spans="1:8" ht="28.5" customHeight="1" x14ac:dyDescent="0.15">
      <c r="A36" s="9">
        <v>34</v>
      </c>
      <c r="B36" s="9" t="s">
        <v>118</v>
      </c>
      <c r="C36" s="9" t="str">
        <f>VLOOKUP(B36,[2]Sheet2!$B:$F,5,0)</f>
        <v>税企服务中心</v>
      </c>
      <c r="D36" s="9" t="str">
        <f>VLOOKUP(B36,[2]Sheet2!$B:$H,7,0)</f>
        <v>B端服务组</v>
      </c>
      <c r="E36" s="38">
        <v>0.12708333333333333</v>
      </c>
      <c r="F36" s="9">
        <v>2</v>
      </c>
      <c r="G36" s="38">
        <f t="shared" si="0"/>
        <v>6.3541666666666663E-2</v>
      </c>
      <c r="H36" s="9"/>
    </row>
    <row r="37" spans="1:8" ht="28.5" customHeight="1" x14ac:dyDescent="0.15">
      <c r="A37" s="9">
        <v>35</v>
      </c>
      <c r="B37" s="9" t="s">
        <v>120</v>
      </c>
      <c r="C37" s="9" t="str">
        <f>VLOOKUP(B37,[2]Sheet2!$B:$F,5,0)</f>
        <v>税企服务中心</v>
      </c>
      <c r="D37" s="9" t="str">
        <f>VLOOKUP(B37,[2]Sheet2!$B:$H,7,0)</f>
        <v>G端服务组</v>
      </c>
      <c r="E37" s="38">
        <v>0.10972222222222222</v>
      </c>
      <c r="F37" s="9">
        <v>1</v>
      </c>
      <c r="G37" s="38">
        <f t="shared" si="0"/>
        <v>0.10972222222222222</v>
      </c>
      <c r="H37" s="9"/>
    </row>
    <row r="38" spans="1:8" ht="28.5" customHeight="1" x14ac:dyDescent="0.15">
      <c r="A38" s="9">
        <v>36</v>
      </c>
      <c r="B38" s="9" t="s">
        <v>39</v>
      </c>
      <c r="C38" s="9" t="str">
        <f>VLOOKUP(B38,[2]Sheet2!$B:$F,5,0)</f>
        <v>商务法务部</v>
      </c>
      <c r="D38" s="9" t="str">
        <f>VLOOKUP(B38,[2]Sheet2!$B:$H,7,0)</f>
        <v>商务法务部</v>
      </c>
      <c r="E38" s="38">
        <v>9.5138888888888884E-2</v>
      </c>
      <c r="F38" s="9">
        <v>1</v>
      </c>
      <c r="G38" s="38">
        <f t="shared" si="0"/>
        <v>9.5138888888888884E-2</v>
      </c>
      <c r="H38" s="9"/>
    </row>
    <row r="39" spans="1:8" ht="28.5" customHeight="1" x14ac:dyDescent="0.15">
      <c r="A39" s="9">
        <v>37</v>
      </c>
      <c r="B39" s="9" t="s">
        <v>116</v>
      </c>
      <c r="C39" s="9" t="str">
        <f>VLOOKUP(B39,[2]Sheet2!$B:$F,5,0)</f>
        <v>税企服务中心</v>
      </c>
      <c r="D39" s="9" t="str">
        <f>VLOOKUP(B39,[2]Sheet2!$B:$H,7,0)</f>
        <v>B端服务组</v>
      </c>
      <c r="E39" s="38">
        <v>6.5277777777777782E-2</v>
      </c>
      <c r="F39" s="9">
        <v>1</v>
      </c>
      <c r="G39" s="38">
        <f t="shared" si="0"/>
        <v>6.5277777777777782E-2</v>
      </c>
      <c r="H39" s="9"/>
    </row>
    <row r="40" spans="1:8" ht="28.5" customHeight="1" x14ac:dyDescent="0.15">
      <c r="A40" s="9">
        <v>38</v>
      </c>
      <c r="B40" s="9" t="s">
        <v>69</v>
      </c>
      <c r="C40" s="9" t="str">
        <f>VLOOKUP(B40,[2]Sheet2!$B:$F,5,0)</f>
        <v>税企服务中心</v>
      </c>
      <c r="D40" s="9" t="str">
        <f>VLOOKUP(B40,[2]Sheet2!$B:$H,7,0)</f>
        <v>资源中心-资源组</v>
      </c>
      <c r="E40" s="38">
        <v>6.5277777777777782E-2</v>
      </c>
      <c r="F40" s="9">
        <v>1</v>
      </c>
      <c r="G40" s="38">
        <f t="shared" si="0"/>
        <v>6.5277777777777782E-2</v>
      </c>
      <c r="H40" s="9"/>
    </row>
    <row r="41" spans="1:8" ht="28.5" customHeight="1" x14ac:dyDescent="0.15">
      <c r="A41" s="9">
        <v>39</v>
      </c>
      <c r="B41" s="9" t="s">
        <v>28</v>
      </c>
      <c r="C41" s="9" t="str">
        <f>VLOOKUP(B41,[2]Sheet2!$B:$F,5,0)</f>
        <v>慧税云服</v>
      </c>
      <c r="D41" s="9" t="str">
        <f>VLOOKUP(B41,[2]Sheet2!$B:$H,7,0)</f>
        <v>慧税学苑-教研组</v>
      </c>
      <c r="E41" s="38">
        <v>6.0416666666666667E-2</v>
      </c>
      <c r="F41" s="9">
        <v>1</v>
      </c>
      <c r="G41" s="38">
        <f t="shared" si="0"/>
        <v>6.0416666666666667E-2</v>
      </c>
      <c r="H41" s="9"/>
    </row>
    <row r="42" spans="1:8" ht="28.5" customHeight="1" x14ac:dyDescent="0.15">
      <c r="A42" s="9">
        <v>40</v>
      </c>
      <c r="B42" s="9" t="s">
        <v>25</v>
      </c>
      <c r="C42" s="9" t="str">
        <f>VLOOKUP(B42,[2]Sheet2!$B:$F,5,0)</f>
        <v>税企服务中心</v>
      </c>
      <c r="D42" s="9" t="str">
        <f>VLOOKUP(B42,[2]Sheet2!$B:$H,7,0)</f>
        <v>B端服务组</v>
      </c>
      <c r="E42" s="38">
        <v>5.6944444444444443E-2</v>
      </c>
      <c r="F42" s="9">
        <v>1</v>
      </c>
      <c r="G42" s="38">
        <f t="shared" si="0"/>
        <v>5.6944444444444443E-2</v>
      </c>
      <c r="H42" s="9"/>
    </row>
    <row r="43" spans="1:8" ht="28.5" customHeight="1" x14ac:dyDescent="0.15">
      <c r="A43" s="9">
        <v>41</v>
      </c>
      <c r="B43" s="9" t="s">
        <v>61</v>
      </c>
      <c r="C43" s="9" t="str">
        <f>VLOOKUP(B43,[2]Sheet2!$B:$F,5,0)</f>
        <v>税企服务中心</v>
      </c>
      <c r="D43" s="9" t="str">
        <f>VLOOKUP(B43,[2]Sheet2!$B:$H,7,0)</f>
        <v>资源中心-架构组</v>
      </c>
      <c r="E43" s="38">
        <v>5.2083333333333336E-2</v>
      </c>
      <c r="F43" s="9">
        <v>1</v>
      </c>
      <c r="G43" s="38">
        <f t="shared" si="0"/>
        <v>5.2083333333333336E-2</v>
      </c>
      <c r="H43" s="9"/>
    </row>
    <row r="44" spans="1:8" ht="28.5" customHeight="1" x14ac:dyDescent="0.15">
      <c r="A44" s="9">
        <v>42</v>
      </c>
      <c r="B44" s="9" t="s">
        <v>65</v>
      </c>
      <c r="C44" s="9" t="str">
        <f>VLOOKUP(B44,[2]Sheet2!$B:$F,5,0)</f>
        <v>慧税云服</v>
      </c>
      <c r="D44" s="9" t="str">
        <f>VLOOKUP(B44,[2]Sheet2!$B:$H,7,0)</f>
        <v>慧税学苑-运营组</v>
      </c>
      <c r="E44" s="38">
        <v>4.9305555555555554E-2</v>
      </c>
      <c r="F44" s="9">
        <v>1</v>
      </c>
      <c r="G44" s="38">
        <f t="shared" si="0"/>
        <v>4.9305555555555554E-2</v>
      </c>
      <c r="H44" s="9"/>
    </row>
    <row r="45" spans="1:8" ht="28.5" customHeight="1" x14ac:dyDescent="0.15">
      <c r="A45" s="9">
        <v>43</v>
      </c>
      <c r="B45" s="9" t="s">
        <v>72</v>
      </c>
      <c r="C45" s="9" t="str">
        <f>VLOOKUP(B45,[2]Sheet2!$B:$F,5,0)</f>
        <v>税企服务中心</v>
      </c>
      <c r="D45" s="9" t="str">
        <f>VLOOKUP(B45,[2]Sheet2!$B:$H,7,0)</f>
        <v>B端服务组</v>
      </c>
      <c r="E45" s="38">
        <v>4.6527777777777779E-2</v>
      </c>
      <c r="F45" s="9">
        <v>1</v>
      </c>
      <c r="G45" s="38">
        <f t="shared" si="0"/>
        <v>4.6527777777777779E-2</v>
      </c>
      <c r="H45" s="9"/>
    </row>
    <row r="46" spans="1:8" ht="28.5" customHeight="1" x14ac:dyDescent="0.15">
      <c r="A46" s="9">
        <v>44</v>
      </c>
      <c r="B46" s="9" t="s">
        <v>44</v>
      </c>
      <c r="C46" s="9" t="str">
        <f>VLOOKUP(B46,[2]Sheet2!$B:$F,5,0)</f>
        <v>税企服务中心</v>
      </c>
      <c r="D46" s="9" t="str">
        <f>VLOOKUP(B46,[2]Sheet2!$B:$H,7,0)</f>
        <v>G端服务组</v>
      </c>
      <c r="E46" s="38">
        <v>4.3055555555555555E-2</v>
      </c>
      <c r="F46" s="9">
        <v>1</v>
      </c>
      <c r="G46" s="38">
        <f t="shared" si="0"/>
        <v>4.3055555555555555E-2</v>
      </c>
      <c r="H46" s="9"/>
    </row>
    <row r="47" spans="1:8" ht="28.5" customHeight="1" x14ac:dyDescent="0.15">
      <c r="A47" s="9">
        <v>45</v>
      </c>
      <c r="B47" s="9" t="s">
        <v>117</v>
      </c>
      <c r="C47" s="9" t="str">
        <f>VLOOKUP(B47,[2]Sheet2!$B:$F,5,0)</f>
        <v>税企服务中心</v>
      </c>
      <c r="D47" s="9" t="str">
        <f>VLOOKUP(B47,[2]Sheet2!$B:$H,7,0)</f>
        <v>资源中心-资源组</v>
      </c>
      <c r="E47" s="38">
        <v>4.1666666666666664E-2</v>
      </c>
      <c r="F47" s="9">
        <v>1</v>
      </c>
      <c r="G47" s="38">
        <f t="shared" si="0"/>
        <v>4.1666666666666664E-2</v>
      </c>
      <c r="H47" s="9"/>
    </row>
    <row r="48" spans="1:8" ht="28.5" customHeight="1" x14ac:dyDescent="0.15">
      <c r="A48" s="9">
        <v>46</v>
      </c>
      <c r="B48" s="9" t="s">
        <v>119</v>
      </c>
      <c r="C48" s="9" t="str">
        <f>VLOOKUP(B48,[2]Sheet2!$B:$F,5,0)</f>
        <v>税企服务中心</v>
      </c>
      <c r="D48" s="9" t="str">
        <f>VLOOKUP(B48,[2]Sheet2!$B:$H,7,0)</f>
        <v>B端服务组</v>
      </c>
      <c r="E48" s="38">
        <v>4.1666666666666664E-2</v>
      </c>
      <c r="F48" s="9">
        <v>1</v>
      </c>
      <c r="G48" s="38">
        <f t="shared" si="0"/>
        <v>4.1666666666666664E-2</v>
      </c>
      <c r="H48" s="9"/>
    </row>
  </sheetData>
  <autoFilter ref="A2:H31" xr:uid="{43BCE10D-B95F-4DAE-8B30-B8938213CCB4}">
    <sortState xmlns:xlrd2="http://schemas.microsoft.com/office/spreadsheetml/2017/richdata2" ref="A3:H31">
      <sortCondition descending="1" ref="E2:E31"/>
    </sortState>
  </autoFilter>
  <sortState xmlns:xlrd2="http://schemas.microsoft.com/office/spreadsheetml/2017/richdata2" ref="A3:H48">
    <sortCondition descending="1" ref="E2:E48"/>
  </sortState>
  <mergeCells count="1">
    <mergeCell ref="A1:H1"/>
  </mergeCells>
  <phoneticPr fontId="1" type="noConversion"/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汇总表1月-4月</vt:lpstr>
      <vt:lpstr>1月加班排序表</vt:lpstr>
      <vt:lpstr>2月加班排序表</vt:lpstr>
      <vt:lpstr>3月加班排序表</vt:lpstr>
      <vt:lpstr>4月加班排序表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2025-05-06T08:07:37Z</dcterms:modified>
</cp:coreProperties>
</file>